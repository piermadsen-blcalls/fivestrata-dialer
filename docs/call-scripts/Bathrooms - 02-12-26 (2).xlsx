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autowebinc-my.sharepoint.com/personal/ashley_smith_autoweb_com/Documents/Desktop/"/>
    </mc:Choice>
  </mc:AlternateContent>
  <xr:revisionPtr revIDLastSave="0" documentId="8_{D03D7927-3F21-48C0-83E2-0742A9E29001}" xr6:coauthVersionLast="47" xr6:coauthVersionMax="47" xr10:uidLastSave="{00000000-0000-0000-0000-000000000000}"/>
  <bookViews>
    <workbookView xWindow="-108" yWindow="-108" windowWidth="23256" windowHeight="13896" xr2:uid="{B00DC431-C19A-4C0C-9318-CD3A6F0404EF}"/>
  </bookViews>
  <sheets>
    <sheet name="Bathroom Script" sheetId="1" r:id="rId1"/>
    <sheet name="Hot Key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95" i="1" l="1"/>
  <c r="C310" i="1" l="1"/>
  <c r="B328" i="1"/>
  <c r="B316" i="1"/>
  <c r="B283" i="1"/>
  <c r="B280" i="1"/>
  <c r="B27" i="1" l="1"/>
  <c r="C13" i="1"/>
  <c r="B307" i="1" l="1"/>
  <c r="B33" i="1" l="1"/>
  <c r="B30" i="1"/>
  <c r="B334" i="1"/>
  <c r="B325" i="1"/>
  <c r="C319" i="1"/>
  <c r="B152" i="1"/>
  <c r="A142" i="1" l="1"/>
  <c r="B289" i="1" l="1"/>
  <c r="C286" i="1"/>
</calcChain>
</file>

<file path=xl/sharedStrings.xml><?xml version="1.0" encoding="utf-8"?>
<sst xmlns="http://schemas.openxmlformats.org/spreadsheetml/2006/main" count="618" uniqueCount="601">
  <si>
    <t>Introduction</t>
  </si>
  <si>
    <t>Hi, is __________ there?</t>
  </si>
  <si>
    <t xml:space="preserve">Sorry to have disturbed you – we’ll update our records immediately. Thanks, bye-bye. </t>
  </si>
  <si>
    <t>Pitch</t>
  </si>
  <si>
    <t>1 - Yes</t>
  </si>
  <si>
    <t>2 - No</t>
  </si>
  <si>
    <t>3 - Repeat - Long</t>
  </si>
  <si>
    <t>4 - Repeat - Short</t>
  </si>
  <si>
    <t>7 -</t>
  </si>
  <si>
    <t>8 -</t>
  </si>
  <si>
    <t xml:space="preserve"> </t>
  </si>
  <si>
    <t>0 - Pause</t>
  </si>
  <si>
    <t>9 - Repeat</t>
  </si>
  <si>
    <t>Common Pathways</t>
  </si>
  <si>
    <t>5 - Not Interested</t>
  </si>
  <si>
    <t>Recap</t>
  </si>
  <si>
    <t>Client Branding</t>
  </si>
  <si>
    <t>TCPA</t>
  </si>
  <si>
    <t>Thanks so much for your patience, and they should be with you in just a moment, okay?</t>
  </si>
  <si>
    <t>Transfer Delay</t>
  </si>
  <si>
    <t>Transfer Failed</t>
  </si>
  <si>
    <t>How are you?</t>
  </si>
  <si>
    <t>Oh, I'm doing really well. Thank you so much for asking!...</t>
  </si>
  <si>
    <t>Good!</t>
  </si>
  <si>
    <t>Not Good.</t>
  </si>
  <si>
    <t>Oh, I am sorry to hear that. Well I'll keep this quick then…</t>
  </si>
  <si>
    <t>Oh, that's great to hear!...</t>
  </si>
  <si>
    <t>What do you want?/ What's this about?</t>
  </si>
  <si>
    <t>6 - Hesitant</t>
  </si>
  <si>
    <t>“WHY DO YOU NEED THIS INFORMATION?”</t>
  </si>
  <si>
    <t>OPTION 2</t>
  </si>
  <si>
    <t xml:space="preserve">OPTION 2 </t>
  </si>
  <si>
    <t xml:space="preserve">No problem. We’ll go ahead and callback another time. Thank you so much. Bye-bye. </t>
  </si>
  <si>
    <t>MINIMUM REQUIREMENTS</t>
  </si>
  <si>
    <t>NO MEANS NO</t>
  </si>
  <si>
    <t>“WHAT COMPANIES?”</t>
  </si>
  <si>
    <t>SCAM / WON’T DO BUSINESS OVER THE PHONE</t>
  </si>
  <si>
    <t>Well I can actually give you a website where you can go get more information if you'd like to look into this further…</t>
  </si>
  <si>
    <t>SEND INFORMATION / WEBSITE</t>
  </si>
  <si>
    <t>HOW MUCH?</t>
  </si>
  <si>
    <t>CONSULTATION DETAILS</t>
  </si>
  <si>
    <t>SCHEDULING</t>
  </si>
  <si>
    <t>LANGUAGE BARRIER?</t>
  </si>
  <si>
    <t>Are you able to understand me clearly?</t>
  </si>
  <si>
    <t>RECORDING?</t>
  </si>
  <si>
    <t>You actually are speaking with a live person; I’m just using a computer for quality control purposes.</t>
  </si>
  <si>
    <t>I am just using a computer for quality control purposes, but again you are speaking with a live person, okay?</t>
  </si>
  <si>
    <t>CALL RECORDED</t>
  </si>
  <si>
    <t>This call is being recorded for quality assurance.</t>
  </si>
  <si>
    <t>CALL ID QUESTIONS</t>
  </si>
  <si>
    <t>YOUR NAME?</t>
  </si>
  <si>
    <t>OPTION 3</t>
  </si>
  <si>
    <t>WHAT IS IT CALLED?</t>
  </si>
  <si>
    <t>HOW GET NUMBER?</t>
  </si>
  <si>
    <t>CONTINUE</t>
  </si>
  <si>
    <t>DO NOT CALL</t>
  </si>
  <si>
    <t>Company?</t>
  </si>
  <si>
    <t>WHO / FROM?</t>
  </si>
  <si>
    <t>WHAT NEXT?</t>
  </si>
  <si>
    <t xml:space="preserve"> NOT INTERESTED</t>
  </si>
  <si>
    <t>Busy</t>
  </si>
  <si>
    <t>DON’T NEED RIGHT NOW</t>
  </si>
  <si>
    <t>NEXT STEPS</t>
  </si>
  <si>
    <t>DEFERMENT</t>
  </si>
  <si>
    <t>ROUND 2</t>
  </si>
  <si>
    <t>ROUND 3</t>
  </si>
  <si>
    <t>ROUND 4</t>
  </si>
  <si>
    <t>I honestly don't know. But I can pass you over to someone who can answer that for you, okay?</t>
  </si>
  <si>
    <t>ROUND 5</t>
  </si>
  <si>
    <t>Oh I understand. Now I do just have three quick questions to ask, just to make sure this would be a good fit or not. I promise it’ll only 
take about a minute, okay?</t>
  </si>
  <si>
    <t>Yes, definitely. I can actually give you a website where you can go get more information, but while I do have you on the phone, if 
you'll just give me maybe 1 or 2 minutes I can see if you'd qualify for one or not, okay?</t>
  </si>
  <si>
    <t>Oh I definitely understand.  Now I can still have the specialist reach out and they could make a better determination if you would 
benefit from the consultation or not. So would that be okay?</t>
  </si>
  <si>
    <t>You know that specialist is actually going to work with your schedule. At the end of the day they're going to make sure to schedule the
 consultation around what works best for you, okay?</t>
  </si>
  <si>
    <t>Oh I'm so sorry about the call then…I'll go ahead and make sure I don’t call you back. Thanks and you have a great day. Bye-bye.</t>
  </si>
  <si>
    <t>Yeah, I don't have an answer for you, but I can make arrangements to have someone more qualified help you out.  Would 
you like for me to do that?"</t>
  </si>
  <si>
    <t>Uhhm, I am actually not sure. I will have to look into that. Your best bet is letting me pass you to an expert who will be able 
to answer all your questions, okay?</t>
  </si>
  <si>
    <t>Greeting</t>
  </si>
  <si>
    <t>Not Home 1</t>
  </si>
  <si>
    <t>Gatekeeper 1</t>
  </si>
  <si>
    <t>Not Home 2</t>
  </si>
  <si>
    <t>Gatekeeper 2</t>
  </si>
  <si>
    <t>Wrong Number</t>
  </si>
  <si>
    <t>Pitch - Long Repeat</t>
  </si>
  <si>
    <t xml:space="preserve">Oh no problem, I'll go ahead and call back another time. Thank you so much. Bye-bye. </t>
  </si>
  <si>
    <r>
      <t>Intro 1</t>
    </r>
    <r>
      <rPr>
        <sz val="11"/>
        <color theme="1"/>
        <rFont val="Calibri"/>
        <family val="2"/>
        <scheme val="minor"/>
      </rPr>
      <t xml:space="preserve"> (Default)</t>
    </r>
  </si>
  <si>
    <r>
      <t>Intro 2</t>
    </r>
    <r>
      <rPr>
        <sz val="11"/>
        <color theme="1"/>
        <rFont val="Calibri"/>
        <family val="2"/>
        <scheme val="minor"/>
      </rPr>
      <t xml:space="preserve"> (Ak/KY/LA/MA/ND/WY)</t>
    </r>
  </si>
  <si>
    <t>Intro 3 - Repeat</t>
  </si>
  <si>
    <t>Survey</t>
  </si>
  <si>
    <t>TCPA Consent</t>
  </si>
  <si>
    <t>Transfer Attempt</t>
  </si>
  <si>
    <t>Rebuttals &amp; FAQ</t>
  </si>
  <si>
    <t>Well, I'm actually just calling back…</t>
  </si>
  <si>
    <t>Recap - Short Repeat</t>
  </si>
  <si>
    <t>Recap - Long Repeat</t>
  </si>
  <si>
    <t>TCPA - Repeat</t>
  </si>
  <si>
    <t>Transfer Attempt - Busy</t>
  </si>
  <si>
    <t>Oh, I didn't realize that now was a bad time. No problem!  I will just go ahead and make arrangements to have them call you 
back. Once again, I want to thank you for your time, and I hope you have a great day!  Bye, bye.</t>
  </si>
  <si>
    <t>Transfer</t>
  </si>
  <si>
    <t>Okay perfect, so hold on just one second and I'll go ahead and connect you, and again, Thank you.</t>
  </si>
  <si>
    <t>R1.0</t>
  </si>
  <si>
    <t>R2.0</t>
  </si>
  <si>
    <t>R3.0</t>
  </si>
  <si>
    <t>R3.1</t>
  </si>
  <si>
    <t>R4.0</t>
  </si>
  <si>
    <t>R5.0</t>
  </si>
  <si>
    <t>R6.0</t>
  </si>
  <si>
    <t>R7.0</t>
  </si>
  <si>
    <t>R7.1</t>
  </si>
  <si>
    <t>R8.0</t>
  </si>
  <si>
    <t>R9.0</t>
  </si>
  <si>
    <t>R10.0</t>
  </si>
  <si>
    <t>R10.1</t>
  </si>
  <si>
    <t>R11.0</t>
  </si>
  <si>
    <t>R13.0</t>
  </si>
  <si>
    <t>R14.0</t>
  </si>
  <si>
    <t>R16.0</t>
  </si>
  <si>
    <t>R17.0</t>
  </si>
  <si>
    <t>R18.0</t>
  </si>
  <si>
    <t>R18.1</t>
  </si>
  <si>
    <t>R19.0</t>
  </si>
  <si>
    <t>R20.0</t>
  </si>
  <si>
    <t>R21.0</t>
  </si>
  <si>
    <t>R21.1</t>
  </si>
  <si>
    <t>R22.1</t>
  </si>
  <si>
    <t>R22.0</t>
  </si>
  <si>
    <t>R23.0</t>
  </si>
  <si>
    <t>R24.0</t>
  </si>
  <si>
    <t>R25.0</t>
  </si>
  <si>
    <t>R26.0</t>
  </si>
  <si>
    <t>R27.0</t>
  </si>
  <si>
    <t>R27.1</t>
  </si>
  <si>
    <t>R27.2</t>
  </si>
  <si>
    <t>R28.0</t>
  </si>
  <si>
    <t>R28.1</t>
  </si>
  <si>
    <t>R29.0</t>
  </si>
  <si>
    <t>R30.0</t>
  </si>
  <si>
    <t>R31.0</t>
  </si>
  <si>
    <t>R32.0</t>
  </si>
  <si>
    <t>R33.0</t>
  </si>
  <si>
    <t>R35.0</t>
  </si>
  <si>
    <t>R36.0</t>
  </si>
  <si>
    <t>R37.0</t>
  </si>
  <si>
    <t>R37.1</t>
  </si>
  <si>
    <t>R37.2</t>
  </si>
  <si>
    <t>R37.3</t>
  </si>
  <si>
    <t>R37.4</t>
  </si>
  <si>
    <t>Inbound Phone #:</t>
  </si>
  <si>
    <t>Customer Service #:</t>
  </si>
  <si>
    <t>Website</t>
  </si>
  <si>
    <t>Company Phone#</t>
  </si>
  <si>
    <t>Website - Repeat</t>
  </si>
  <si>
    <t>R31.1</t>
  </si>
  <si>
    <t>Company Information</t>
  </si>
  <si>
    <t>Call Center Location:</t>
  </si>
  <si>
    <t>Call Center Name:</t>
  </si>
  <si>
    <t>Customer Service Email:</t>
  </si>
  <si>
    <t>Avatar Name:</t>
  </si>
  <si>
    <t>I agree [1]</t>
  </si>
  <si>
    <t>I agree</t>
  </si>
  <si>
    <t>Agree [2]</t>
  </si>
  <si>
    <t>I agree with ya</t>
  </si>
  <si>
    <t>Agree [3]</t>
  </si>
  <si>
    <t>I agree completely</t>
  </si>
  <si>
    <t>Busy [1]</t>
  </si>
  <si>
    <t>I understand if you're busy, but this will only take a minute, okay?</t>
  </si>
  <si>
    <t>Busy [2]</t>
  </si>
  <si>
    <t>I can be really brief, okay?</t>
  </si>
  <si>
    <t>Busy [3]</t>
  </si>
  <si>
    <t>We're almost finished, okay?</t>
  </si>
  <si>
    <t>Clarification [1]</t>
  </si>
  <si>
    <t>You know that's a great question for the specialist.</t>
  </si>
  <si>
    <t>Clarification [2]</t>
  </si>
  <si>
    <t>Again, I'm not the expert so I just don't know the answer to that, but I'm sure they can help you with it, okay?</t>
  </si>
  <si>
    <t>Clarification [3]</t>
  </si>
  <si>
    <t>The specialist will be able to answer that for you, okay?</t>
  </si>
  <si>
    <t>Description [1]</t>
  </si>
  <si>
    <t>Description [2]</t>
  </si>
  <si>
    <t>Description [3]</t>
  </si>
  <si>
    <t>Again, this is just verify your interest and to see if you meet the minimum qualifications.</t>
  </si>
  <si>
    <t>Exactly [1]</t>
  </si>
  <si>
    <t>Exactly</t>
  </si>
  <si>
    <t>Exactly [2]</t>
  </si>
  <si>
    <t>Yeah, exactly</t>
  </si>
  <si>
    <t>Exactly [3]</t>
  </si>
  <si>
    <t xml:space="preserve">You got it. </t>
  </si>
  <si>
    <t>From [1]</t>
  </si>
  <si>
    <t>From [2]</t>
  </si>
  <si>
    <t>From [3]</t>
  </si>
  <si>
    <t>Gratitude [1]</t>
  </si>
  <si>
    <t>Ok, thank you...</t>
  </si>
  <si>
    <t>Gratitude [2]</t>
  </si>
  <si>
    <t>Thank you...</t>
  </si>
  <si>
    <t>Gratitude [3]</t>
  </si>
  <si>
    <t>Alright, thanks</t>
  </si>
  <si>
    <t>Hello [1]</t>
  </si>
  <si>
    <t xml:space="preserve">Hello? </t>
  </si>
  <si>
    <t>Hello [2]</t>
  </si>
  <si>
    <t>Can you hear me?</t>
  </si>
  <si>
    <t>Hello [3]</t>
  </si>
  <si>
    <t>Are you there?</t>
  </si>
  <si>
    <t>I understand [1]</t>
  </si>
  <si>
    <t>I understand</t>
  </si>
  <si>
    <t>I understand [2]</t>
  </si>
  <si>
    <t>I hear ya</t>
  </si>
  <si>
    <t>I understand [3]</t>
  </si>
  <si>
    <t>I know what you mean</t>
  </si>
  <si>
    <t>Justify [1]</t>
  </si>
  <si>
    <t>Justify [2]</t>
  </si>
  <si>
    <t>Justify [3]</t>
  </si>
  <si>
    <t>Again, you can decide if it's a good fit or not, okay?</t>
  </si>
  <si>
    <t>Is that oK [1]</t>
  </si>
  <si>
    <t>Is that okay?</t>
  </si>
  <si>
    <t>Is that oK [2]</t>
  </si>
  <si>
    <t>Would that be alright?</t>
  </si>
  <si>
    <t>Is that oK [3]</t>
  </si>
  <si>
    <t>So what do you say, is that alright?</t>
  </si>
  <si>
    <t>Laugh [1]</t>
  </si>
  <si>
    <t>LOL</t>
  </si>
  <si>
    <t>Laugh [2]</t>
  </si>
  <si>
    <t>Laugh [3]</t>
  </si>
  <si>
    <t>Make spell [1]</t>
  </si>
  <si>
    <t>Would you mind spelling that for me?</t>
  </si>
  <si>
    <t>Make spell [2]</t>
  </si>
  <si>
    <t>Can you spell it like A as in apple, B as in boy,...</t>
  </si>
  <si>
    <t>Make spell [3]</t>
  </si>
  <si>
    <t>I didn't quite get it. Can you spell it for me please?</t>
  </si>
  <si>
    <t>No [1]</t>
  </si>
  <si>
    <t>Nope</t>
  </si>
  <si>
    <t>No [2]</t>
  </si>
  <si>
    <t>No</t>
  </si>
  <si>
    <t>No [3]</t>
  </si>
  <si>
    <t>No, that's not correct</t>
  </si>
  <si>
    <t>Okay [1]</t>
  </si>
  <si>
    <t>Okay</t>
  </si>
  <si>
    <t>Okay [2]</t>
  </si>
  <si>
    <t>Oh, okay</t>
  </si>
  <si>
    <t>Okay [3]</t>
  </si>
  <si>
    <t>Yeah, okay</t>
  </si>
  <si>
    <t>Phone [1]</t>
  </si>
  <si>
    <t>Phone [2]</t>
  </si>
  <si>
    <t>Phone [3]</t>
  </si>
  <si>
    <t>Qualify [1]</t>
  </si>
  <si>
    <t>Qualify [2]</t>
  </si>
  <si>
    <t>Qualify [3]</t>
  </si>
  <si>
    <t>All I need to do is ask a couple of questions to see if you qualify.</t>
  </si>
  <si>
    <t>Repeat [1]</t>
  </si>
  <si>
    <t>Sorry, what was that?</t>
  </si>
  <si>
    <t>Repeat [2]</t>
  </si>
  <si>
    <t>I didn't quite catch it. Can you repeat that for me?</t>
  </si>
  <si>
    <t>Repeat [3]</t>
  </si>
  <si>
    <t>Can you tell me that one more time please?</t>
  </si>
  <si>
    <t>Sorry [1]</t>
  </si>
  <si>
    <t>I'm sorry</t>
  </si>
  <si>
    <t>Sorry [2]</t>
  </si>
  <si>
    <t>I'm sorry to hear that</t>
  </si>
  <si>
    <t>Sorry [3]</t>
  </si>
  <si>
    <t>I'm sorry about that.</t>
  </si>
  <si>
    <t>Training [1]</t>
  </si>
  <si>
    <t>You know, I don't know the answer to that</t>
  </si>
  <si>
    <t>Training [2]</t>
  </si>
  <si>
    <t>I'm not sure about that</t>
  </si>
  <si>
    <t>Training [3]</t>
  </si>
  <si>
    <t>I apologize, I don't know.</t>
  </si>
  <si>
    <t>Uh huh [1]</t>
  </si>
  <si>
    <t>Uh huh</t>
  </si>
  <si>
    <t>Uh huh [2]</t>
  </si>
  <si>
    <t>Oh, uh huh</t>
  </si>
  <si>
    <t>Uh huh [3]</t>
  </si>
  <si>
    <t>Yeah, uh huh</t>
  </si>
  <si>
    <t>Who [1]</t>
  </si>
  <si>
    <t>My name is &lt;first name&gt;</t>
  </si>
  <si>
    <t>Who [2]</t>
  </si>
  <si>
    <t>It's &lt;first name&gt;&lt;last name&gt;</t>
  </si>
  <si>
    <t>Who [3]</t>
  </si>
  <si>
    <t>It's &lt;first name - spell&gt;, &lt;last name - spell&gt;</t>
  </si>
  <si>
    <t>Xfer to LIVE [1]</t>
  </si>
  <si>
    <t>You know, if you'd like then I can transfer you over to someone that can help you with that.</t>
  </si>
  <si>
    <t>Xfer to LIVE [2]</t>
  </si>
  <si>
    <t>Let me transfer you over, just a moment...</t>
  </si>
  <si>
    <t>Xfer to LIVE [3]</t>
  </si>
  <si>
    <t>Hold on just a second, and I'll transfer you over to them...</t>
  </si>
  <si>
    <t>Yes [1]</t>
  </si>
  <si>
    <t>Yes</t>
  </si>
  <si>
    <t>Yes [2]</t>
  </si>
  <si>
    <t>Yep</t>
  </si>
  <si>
    <t>Yes [3]</t>
  </si>
  <si>
    <t>Yes, that's correct</t>
  </si>
  <si>
    <t>Zinger [1]</t>
  </si>
  <si>
    <t>It's a great way to save money.</t>
  </si>
  <si>
    <t>Zinger [2]</t>
  </si>
  <si>
    <t>There's no obligation</t>
  </si>
  <si>
    <t>Zinger [3]</t>
  </si>
  <si>
    <t>I promise. It will be worth your time, okay?</t>
  </si>
  <si>
    <t>Call recorded [1]</t>
  </si>
  <si>
    <t xml:space="preserve">This call is being recorded for quality assurance. </t>
  </si>
  <si>
    <t>Call recorded [2]</t>
  </si>
  <si>
    <t>Oh, I was saying for quality assurance this call is being recorded.</t>
  </si>
  <si>
    <t>Call recorded [3]</t>
  </si>
  <si>
    <t xml:space="preserve">We record our calls to ensure the best quality for you. </t>
  </si>
  <si>
    <t>Call ID [1]</t>
  </si>
  <si>
    <t>Well, the reason the number is sometimes different, is because we do use a few different phone numbers through different carriers and that just helps our efficiency, but rest assured, the number you see IS owned by us, and if you were to dial that, that  would go directly to our customer service, okay?</t>
  </si>
  <si>
    <t>Call ID [2]</t>
  </si>
  <si>
    <t>Y'know that's really a technical thing, so I don't really know the answer to it myself, but as I mentioned, if you did call it back - it does comes to us, and that is a federal requirement, okay?</t>
  </si>
  <si>
    <t>Call ID [3]</t>
  </si>
  <si>
    <t>If you call it back then you'll reach our customer service, okay?</t>
  </si>
  <si>
    <t>What next [1]</t>
  </si>
  <si>
    <t>What next [2]</t>
  </si>
  <si>
    <t>What next [3]</t>
  </si>
  <si>
    <t>I've submitted your name for a free consultation so you'll be hearing from them shortly, okay?</t>
  </si>
  <si>
    <t>Location [1]</t>
  </si>
  <si>
    <t xml:space="preserve">We're located in Utah. </t>
  </si>
  <si>
    <t>Location [2]</t>
  </si>
  <si>
    <t xml:space="preserve">I'm actually calling from the Utah county area in Pleasant Grove. </t>
  </si>
  <si>
    <t>Location [3]</t>
  </si>
  <si>
    <t xml:space="preserve">We're not too far from the capital, Salt Lake City. </t>
  </si>
  <si>
    <t>How get # [1]</t>
  </si>
  <si>
    <t>How get # [2]</t>
  </si>
  <si>
    <t>We received your information from an online form that was submitted to us.</t>
  </si>
  <si>
    <t>How get # [3]</t>
  </si>
  <si>
    <t>If that doesn't sound familiar then I can remove you from the calling list. Would you like me to do that?</t>
  </si>
  <si>
    <t>How much [1]</t>
  </si>
  <si>
    <t>How much [2]</t>
  </si>
  <si>
    <t>How much [3]</t>
  </si>
  <si>
    <t>Let me get you over to the specialist who can discuss the cost with you, but remember you're under no obligation to buy after the free consultation, okay?</t>
  </si>
  <si>
    <t>Savings % [3]</t>
  </si>
  <si>
    <t>Scheduling [1]</t>
  </si>
  <si>
    <t>You know that specialist is actually going to work with your schedule. At the end of the day they're going to make sure to schedule the consultation around what works best for you, okay?</t>
  </si>
  <si>
    <t>Scheduling [2]</t>
  </si>
  <si>
    <t xml:space="preserve">The specialist will work with your schedule. </t>
  </si>
  <si>
    <t>Scheduling [3]</t>
  </si>
  <si>
    <t>At the end of the day they're going to make sure to schedule the consultation around what works best for you, okay?</t>
  </si>
  <si>
    <t>How work [1]</t>
  </si>
  <si>
    <t>How work [2]</t>
  </si>
  <si>
    <t>How work [3]</t>
  </si>
  <si>
    <t>No problem [1]</t>
  </si>
  <si>
    <t>No problem</t>
  </si>
  <si>
    <t>No problem [2]</t>
  </si>
  <si>
    <t>That's not a problem</t>
  </si>
  <si>
    <t>No problem [3]</t>
  </si>
  <si>
    <t>No worries</t>
  </si>
  <si>
    <t>Website [1]</t>
  </si>
  <si>
    <t>Website [2]</t>
  </si>
  <si>
    <t>Website [3]</t>
  </si>
  <si>
    <t>Scam [1]</t>
  </si>
  <si>
    <t>Well I can actually give you a website where you can go get more information if you'd like to look into this further...</t>
  </si>
  <si>
    <t>Scam [2]</t>
  </si>
  <si>
    <t>Would you like the website?</t>
  </si>
  <si>
    <t>Scam [3]</t>
  </si>
  <si>
    <t>Send information [1]</t>
  </si>
  <si>
    <t>So yeah definitely. I can actually give you a website where you can go get more information, but while I do have you on the phone, if you'll just give me maybe 1 or 2 minutes I can see if you'd qualify for one or not, okay?</t>
  </si>
  <si>
    <t>Send information [2]</t>
  </si>
  <si>
    <t>You bet, can I just have a few minutes of your time now?</t>
  </si>
  <si>
    <t>Send information [3]</t>
  </si>
  <si>
    <t>Again, you can get information on the website too, okay?</t>
  </si>
  <si>
    <t>Live person [1]</t>
  </si>
  <si>
    <t>You actually are speaking with a live person, I'm just using a computer for quality control purposes</t>
  </si>
  <si>
    <t>Live person [2]</t>
  </si>
  <si>
    <t>I am just using a computer for quality control purposes, but again you are speaking with a live person, okay</t>
  </si>
  <si>
    <t>Live person [3]</t>
  </si>
  <si>
    <t>I'm a LIVE person using a technology that allows me to respond using audio messages.</t>
  </si>
  <si>
    <t>Consultation [1]</t>
  </si>
  <si>
    <t>Hold on [1]</t>
  </si>
  <si>
    <t>Sorry, give me just a second here...</t>
  </si>
  <si>
    <t>Hold on [2]</t>
  </si>
  <si>
    <t>Hold on for just a bit here...</t>
  </si>
  <si>
    <t>Hold on [3]</t>
  </si>
  <si>
    <t>It will be just a minute longer...</t>
  </si>
  <si>
    <t>He available [1]</t>
  </si>
  <si>
    <t>Is he available?</t>
  </si>
  <si>
    <t>He available [2]</t>
  </si>
  <si>
    <t>Oh, sorry - is HE available?</t>
  </si>
  <si>
    <t>He available [3]</t>
  </si>
  <si>
    <t>Is this him?</t>
  </si>
  <si>
    <t>She available [1]</t>
  </si>
  <si>
    <t>Is she available?</t>
  </si>
  <si>
    <t>She available [2]</t>
  </si>
  <si>
    <t>Oh sorry - is SHE available?</t>
  </si>
  <si>
    <t>She available [3]</t>
  </si>
  <si>
    <t>Is this her?</t>
  </si>
  <si>
    <t>You know, I'm so sorry. It actually looks like it's taking a bit longer than I thought, originally. Now, I don't want to keep you holding on 
too long; so, what I'm going to do is have a specialist call you back shortly, and again thank you so much for your time, and I hope you 
have a great day... bye, bye.</t>
  </si>
  <si>
    <t>Greet - [Name]</t>
  </si>
  <si>
    <t>Greet - Hot Home 1</t>
  </si>
  <si>
    <t>Greet - Not Home 2</t>
  </si>
  <si>
    <t>Greet - Gatekeeper 1</t>
  </si>
  <si>
    <t>Greet - Gatekeeper 2</t>
  </si>
  <si>
    <t>Intro - Basic</t>
  </si>
  <si>
    <t>Intro - Special</t>
  </si>
  <si>
    <t>Intro - Thanks</t>
  </si>
  <si>
    <t>Intro - Good</t>
  </si>
  <si>
    <t>Intro - Not Good</t>
  </si>
  <si>
    <t>Intro - What</t>
  </si>
  <si>
    <t>Greet - Wrong</t>
  </si>
  <si>
    <t>Pitch - Full</t>
  </si>
  <si>
    <t>Pitch - Long</t>
  </si>
  <si>
    <t>Pitch - Short</t>
  </si>
  <si>
    <t>Survey - Long</t>
  </si>
  <si>
    <t>Survey - Short</t>
  </si>
  <si>
    <t>Recap - Long</t>
  </si>
  <si>
    <t>Recap - Short</t>
  </si>
  <si>
    <t>TCPA - Full</t>
  </si>
  <si>
    <t>Transfer - Declined</t>
  </si>
  <si>
    <t>Transfer - Agree</t>
  </si>
  <si>
    <t>Transfer - Hold</t>
  </si>
  <si>
    <t>Transfer - Failed</t>
  </si>
  <si>
    <t>Transfer - Repeat</t>
  </si>
  <si>
    <t>Transfer Repeat</t>
  </si>
  <si>
    <t>I was just saying that I have a specialist available, right now, to get you that free quote.  So, if it's okay with 
you, I'm gonna go ahead and transfer you over right now. Is that okay?</t>
  </si>
  <si>
    <t>Generic</t>
  </si>
  <si>
    <t xml:space="preserve">   </t>
  </si>
  <si>
    <t>Sports</t>
  </si>
  <si>
    <t>So, do you follow any sports where you are?</t>
  </si>
  <si>
    <t>What’s your favorite team or um, maybe teams out there?</t>
  </si>
  <si>
    <t>Transfer - Stall 1.1</t>
  </si>
  <si>
    <t>Your Team</t>
  </si>
  <si>
    <t>My Team</t>
  </si>
  <si>
    <t>Well football is my favorite sport so I like college, and pro and definitely fall is my favorite season because it’s full with all of that.</t>
  </si>
  <si>
    <t>Transfer - Stall 1.2</t>
  </si>
  <si>
    <t>Transfer - Stall 1.0</t>
  </si>
  <si>
    <t>Transfer - Stall 2.0</t>
  </si>
  <si>
    <t>Transfer - Stall 2.1</t>
  </si>
  <si>
    <t>Weather</t>
  </si>
  <si>
    <t>Weather Response</t>
  </si>
  <si>
    <t>So what’s the weather like where you are?     </t>
  </si>
  <si>
    <t>Yeah, it’s kinda about the same here.</t>
  </si>
  <si>
    <t>Transfer - Stall 3.0</t>
  </si>
  <si>
    <t>Transfer - Stall 3.1</t>
  </si>
  <si>
    <t>Longer</t>
  </si>
  <si>
    <t>This won’t take much longer at all.</t>
  </si>
  <si>
    <t>Delay</t>
  </si>
  <si>
    <t>I am sorry about the delay on this, let me go ahead and try and pull in a different department for you. Just a second.</t>
  </si>
  <si>
    <t>Shows</t>
  </si>
  <si>
    <t>Not Seen</t>
  </si>
  <si>
    <t>So, do you have any favorite shows you’ve been watching lately?</t>
  </si>
  <si>
    <t>Oh, no. I haven’t seen that one. It sounds interesting though.</t>
  </si>
  <si>
    <t>Oh, yeah? I like watching that one too.</t>
  </si>
  <si>
    <t>Transfer - Stall 4.0</t>
  </si>
  <si>
    <t>Transfer - Stall 4.1</t>
  </si>
  <si>
    <t>Transfer - Stall 4.2</t>
  </si>
  <si>
    <t>Enjoy</t>
  </si>
  <si>
    <t>Pitch - Short Repeat</t>
  </si>
  <si>
    <t>Survey - Full - Yes</t>
  </si>
  <si>
    <t>Okay, no problem. Thanks for your time. Bye-bye.</t>
  </si>
  <si>
    <t>ALREADY LOOKED INTO THIS</t>
  </si>
  <si>
    <t>So basically, they will need just need a few minutes of your time, over the phone. They'll review with you all the details that you'll need to know as well as answer any questions that you may have. Then they'll obviously have a few more questions for you as well, okay?</t>
  </si>
  <si>
    <t>Okay, well we actually received this number from an online inquiry. Was that you or somebody else?</t>
  </si>
  <si>
    <t>HESITANT</t>
  </si>
  <si>
    <t>I understand that the timing of this call isn’t really convenient for you, but remember this consultation is absolutely free and actually 
requires no commitment from you at all.  You have nothing to lose by receiving these details, okay?</t>
  </si>
  <si>
    <t>Transfer - Handoff</t>
  </si>
  <si>
    <t>Transfer Handoff</t>
  </si>
  <si>
    <t>Company Brand</t>
  </si>
  <si>
    <t>Company Website</t>
  </si>
  <si>
    <t>Intro - Repeat</t>
  </si>
  <si>
    <t>R38</t>
  </si>
  <si>
    <t>R39</t>
  </si>
  <si>
    <t>Oh, I'm glad to hear that!</t>
  </si>
  <si>
    <t>GLAD</t>
  </si>
  <si>
    <t>How Are You?</t>
  </si>
  <si>
    <t>Again, I would hate to give you any misleading or incorrect information. There really are so many variables that would affect cost that I just can't give you an estimate now. That's why we want you to talk to a specialist. That specialist will be able to answer any of those questions for you, okay?</t>
  </si>
  <si>
    <t>Superior Home</t>
  </si>
  <si>
    <t>Okay, and actually, you know, it looks like a specialist is available right now for that free consultation. So, if it's okay with 
you, I'm gonna go ahead and transfer you over right now. Just stay on the line and they will be right with you okay?</t>
  </si>
  <si>
    <t>Again, I would hate to give you any misleading or incorrect information, since I am not a specialist.  My job is just to see if you qualify for the program. Now would you like me to proceed and make arrangements to have a qualified specialist answer those questions for you?</t>
  </si>
  <si>
    <t>New Construction</t>
  </si>
  <si>
    <t>Alright great, thank you! Now, next question for you, is your home currently under construction?</t>
  </si>
  <si>
    <t>New Construction- Repeat Short</t>
  </si>
  <si>
    <t>New Construction-Clarification/ Repeat Long</t>
  </si>
  <si>
    <t>Is your home currently being built?</t>
  </si>
  <si>
    <t>Now, I just need to ask a few quick questions, and this will only take a moment of your time, okay?</t>
  </si>
  <si>
    <t>ENERGY SAVINGS?</t>
  </si>
  <si>
    <t>Confirm Yes Round 1</t>
  </si>
  <si>
    <t>Confirm 1</t>
  </si>
  <si>
    <t>Just to confirm is that a yes?</t>
  </si>
  <si>
    <t>Confirm Yes Round 2</t>
  </si>
  <si>
    <t>Confirm 2</t>
  </si>
  <si>
    <t>Is that a Yes?</t>
  </si>
  <si>
    <t>Confirm Yes Round 3</t>
  </si>
  <si>
    <t>Confirm 3</t>
  </si>
  <si>
    <r>
      <t xml:space="preserve">Recap </t>
    </r>
    <r>
      <rPr>
        <sz val="11"/>
        <color rgb="FFFF0000"/>
        <rFont val="Calibri"/>
        <family val="2"/>
        <scheme val="minor"/>
      </rPr>
      <t>NO</t>
    </r>
    <r>
      <rPr>
        <sz val="11"/>
        <color theme="1"/>
        <rFont val="Calibri"/>
        <family val="2"/>
        <scheme val="minor"/>
      </rPr>
      <t xml:space="preserve"> - Full</t>
    </r>
  </si>
  <si>
    <t xml:space="preserve">Alright, now unfortunately your home type would not qualify for this. I'm so sorry about that.  Thanks so much for your
 time and have a great day. Bye-bye."  </t>
  </si>
  <si>
    <t>Survey -Not Qualify</t>
  </si>
  <si>
    <t>Yes New Construction</t>
  </si>
  <si>
    <t>TCPA - Long Repeat</t>
  </si>
  <si>
    <t>TCPA - Quick Repeat</t>
  </si>
  <si>
    <t>CA Transfer Attempt</t>
  </si>
  <si>
    <t>Okay, great, and you are free to opt-out of sharing your information at any time and actually, you know, it looks like a specialist is available right now to get you that free quote. So, if it's alrighy with you, I'm gonna go ahead and transfer you over right now. So just stay on the line and they will be right with you okay?</t>
  </si>
  <si>
    <t>CA- No Transfer</t>
  </si>
  <si>
    <t xml:space="preserve">Perfect and thank you so much. Now you are free to opt-out of sharing your information at any time. And like I said you should hear from them within about 24 hours and again thanks so much for your time and have a great day. Bye-bye. </t>
  </si>
  <si>
    <t>CA-No Transfer Attempt</t>
  </si>
  <si>
    <t>Again I apologize but I can transfer you to a specialist that can help answer your questions. Would that be okay?</t>
  </si>
  <si>
    <t>I just wanted to confirm you have interest and ask you a few questions to see if you qualify for a free consultation, okay?</t>
  </si>
  <si>
    <t>Consultation [2]</t>
  </si>
  <si>
    <t>So, the specialist will come by your house for about a 30-60 minute consultation.</t>
  </si>
  <si>
    <t>So, the specialist will review with you all the details that you'll need to know as well as answer all of the questions you may have, okay?</t>
  </si>
  <si>
    <t>Consultation [3]</t>
  </si>
  <si>
    <t>Verify Interest</t>
  </si>
  <si>
    <t>info@superiorhomeproject.com</t>
  </si>
  <si>
    <t xml:space="preserve">Oh, this is actually just a quick follow-up from an online request that they made for information about getting some help with their bathroom. It's actually really nothing urgent and we can just try back at another time. Thanks so much for your time today. Bye-bye. </t>
  </si>
  <si>
    <t>I was just saying whether you are looking to update your bathroom or modify it by adding a walk-in tub or shower, now is the time to get a free quote. Now, I just need to ask a few quick questions, and this will only take a moment of your time, okay?</t>
  </si>
  <si>
    <t>Yes - Main Reason?</t>
  </si>
  <si>
    <t>Main Reason? - Long Repeat</t>
  </si>
  <si>
    <t>Main Reason? - Short Repeat</t>
  </si>
  <si>
    <t>Now, just so you’re aware this call will be monitored, or recorded, for quality assurance purposes, uhm, and actually the reason we're calling today is to follow up on your request for more information about remodeling your bathroom. Whether you are looking to update your bathroom for an affordable price or you want to make modifications like installing a walk-in tub or shower, now is the time to get a free quote. Now, I just need to ask a few quick questions, and this will only take a moment of your time, okay?</t>
  </si>
  <si>
    <t>Okay great, thank you. Now, a lot of people are remodeling their bathrooms to improve their home's value, or to make them more functional. What would be your main reason for renovating your bathroom?</t>
  </si>
  <si>
    <t>Oh, I was just saying  a lot of people are updating their bathrooms to increase their home's value or to make them more functional. What would be your main reason for remodeling your bathroom?</t>
  </si>
  <si>
    <t>Okay, and what would be your main reason for remodeling your bathroom?</t>
  </si>
  <si>
    <t>So as I stated before, these partners will attempt to contact you at this number even if you are on a Do Not Call List. Is that okay?</t>
  </si>
  <si>
    <t>TCPA Unclear Yes</t>
  </si>
  <si>
    <t>Sorry, If you want our partners to contact you then I need a clear YES from you. Please confirm with a yes or no.</t>
  </si>
  <si>
    <t>So by providing just a few pieces of information we can tell you very quickly if a bathroom remodel would be a good fit or not and then you can 
decide from there, okay?</t>
  </si>
  <si>
    <t>Well now keep in mind you really don't have anything to lose with a free consultation. It's certainly worth checking out and taking advantage of the opportunity to update your bathroom, so would you like to learn more?</t>
  </si>
  <si>
    <t>So based on your location, the company that will be calling you would be Zintex Remodeling Group</t>
  </si>
  <si>
    <t xml:space="preserve">You know that's actually a great question.  It depends on the scope of the project, and the materials you choose, among other factors. </t>
  </si>
  <si>
    <t>superiorhomeproject.com</t>
  </si>
  <si>
    <t>No problem. I understand. I did want to let you know that there is absolutely no obligation to you. All we’re looking to do is to set up a bathroom consultation, which again is absolutely free and requires no commitment; once you have the information, then you'll have all the details you'd need to make an informed decision, okay?</t>
  </si>
  <si>
    <t>You know, I’m not a specialist myself so I would hate to give you any incorrect information. What I can do is pass you over to a 
specialist and they’ll be able to go over all the information with you, okay?</t>
  </si>
  <si>
    <t>I was just saying that our partners may use an automatic dialing system to contact you at this number even if it happens to be on a Do Not Call List. Again you're under absolutely no obligation at all and not required to agree to this order to purchase a bathroom  remodel. So, do you give your permission for them to call you at this number?</t>
  </si>
  <si>
    <t>Now just so you know these local installer partners may use an automatic dialing system to contact you at this number, even if it's a wireless number. And then, with your permission, they’ll call you even if you're listed on any State, Federal, or Corporate Do Not Call list. Again, you’re under absolutely no obligation at all, and not required to agree to this order to purchase a bathroom  remodel. Is that Okay?</t>
  </si>
  <si>
    <t>Well, I'm just calling about a request for some information about a bathroom remodel, but it's nothing urgent. When would be a better time to call back?</t>
  </si>
  <si>
    <t>Bathrooms Script</t>
  </si>
  <si>
    <t>Well the minimum qualifications do vary a bit by area, but basically I just have a few general questions. Now if you do qualify for the 
free consultation then we'll pass your information on to a bathroom company that will call you back within about 24 hrs and they'll give you all the details that you’ll need to know to decide for yourself if a bathroom remodel is going to be a good fit for you or not, okay?</t>
  </si>
  <si>
    <t>All we need to do is confirm that you meet the requirements and that you would be a good fit for a bathroom remodel. It's only going to take me a minute, okay?</t>
  </si>
  <si>
    <t>"Alright, so here’s what’s going to happen.  You qualify for a free consultation.  The next step is to see if a bathroom remodel would be a good fit for you.  You might as well proceed and get the details and then you could at least make an informed decision.  Once again, the consultation is free and requires no commitment.  As part of the process, a specialist will need to call you back and ask you some additional questions, okay?"</t>
  </si>
  <si>
    <t>That's a good question, unfortunately, I am not the best person to answer it. My job is simply to make sure you qualify for a free
bathroom consultation, and then to pass you off to a specialist. Would you like for me to go ahead and proceed?</t>
  </si>
  <si>
    <t>HOW DOES Bathroom REPLACEMENT WORK?</t>
  </si>
  <si>
    <t>It is Superior      Home        Project .com (said slowly)</t>
  </si>
  <si>
    <t>Did you know the cost of remodeling your bathrooms has really dropped over the years?  In addition to that, it has become a really quick project, sometimes being completed in just a day or so.  Now, two of the greatest benefits of remodeling your bathroom are, of course, the increase in your home's value, but most people are doing it for their own personal enjoyment and improved functionality. I have just a few qualifying questions... First, do you own your home?</t>
  </si>
  <si>
    <t xml:space="preserve">Ok, sounds like you have a good idea already of what an updated bathroom could do for you. I just have a few qualifying questions…. First, do you own your home?
</t>
  </si>
  <si>
    <t>Survey Positive Response – Homeowner</t>
  </si>
  <si>
    <t>Positive - Homeowner</t>
  </si>
  <si>
    <t>Benefits - Homeowner</t>
  </si>
  <si>
    <t>Survey Needs Benefits - Homeowner</t>
  </si>
  <si>
    <t>Survey Overcome Negative  - Homeowner</t>
  </si>
  <si>
    <t>Overcome Negative Reponse - Homeowner</t>
  </si>
  <si>
    <t>Homeowner? - Repeat Long</t>
  </si>
  <si>
    <t>Oh, I was just asking… if you own your home?</t>
  </si>
  <si>
    <t>Homeowner - Repeat Short</t>
  </si>
  <si>
    <t>"Ok well the reason for my call is to follow up on the online request that you filled out to receive a FREE bathroom remodel consultation for your home. Now my job at Superior Home is just to make sure that you're interested in speaking with a bathroom specialist and that you do meet those minimum qualifications, okay?"</t>
  </si>
  <si>
    <t>"My job is just to make sure that you're interested in speaking with a bathroom specialist, okay?"</t>
  </si>
  <si>
    <t xml:space="preserve">And again this is Brian and I'm calling on behalf of Superior Home in regard to an online request for information about a bathroom remodel. </t>
  </si>
  <si>
    <t>Its superior home project .com</t>
  </si>
  <si>
    <t>So it is superior home project .com</t>
  </si>
  <si>
    <t xml:space="preserve">  "Oh, so let me ask you - would you be interested in learning more about how a bathroom remodel could help increase your home's value and overall feel?"</t>
  </si>
  <si>
    <t>"Well the minimum qualifications do vary a bit by area, but basically I just have a few general questions. Now if you do qualify for a free quote then we'll pass your information on to the Bathroom company that will call you back within about 24 hours and they'll give you all the details that you'll need to decide for yourself if a bathroom remodel would be a good fit for you or not, okay?"</t>
  </si>
  <si>
    <t>"The specialist will give you all the details that you'll need to decide for yourself if new a bathroom remodel is  going to be a good fit for you or not, okay?"</t>
  </si>
  <si>
    <t>"So yeah, actually all we need to do is confirm that you own your own home; that it's not a new construction, and it's only going to take me a minute, okay?"</t>
  </si>
  <si>
    <t>"You know that's actually a great question. The cost will vary. Everyone’s bathroom is different, and it is impossible to give you an accurate quote without seeing your bathroom. We need to take specific measurements of your tub/shower area. Then you have to pick out all of our custom-made options so we can provide you with a down-to-the-penny price. This is why we offer free in-home consultations. Now I can have the specialist reach out and they could make a better determination if you would benefit from the consultation or not. So would that be okay?"</t>
  </si>
  <si>
    <t>"You know that's actually a really great question The visit to your home  will include information regarding the products, services, and all design options and you will receive a written price for your records. I do know that there are a few options the specialist can review with you, okay?"</t>
  </si>
  <si>
    <t>"The specialist will review all the options with you and make sure it will be benefit for you, okay?"</t>
  </si>
  <si>
    <t>Its www. Superior</t>
  </si>
  <si>
    <t>home project</t>
  </si>
  <si>
    <t>.com</t>
  </si>
  <si>
    <t>So Superior home works with a network of bathroom specialists. This actually allows us to customize our services to you and connect you with the most suitable local that meets your personal requirements.</t>
  </si>
  <si>
    <t>"So basically, they will need just need a few minutes of your time, over the phone. the consultations are completely free of charge with no obligation to purchase and they are offering (monthly promotions), so it would not hurt to have another option for your records to refer to if or whenever you are ready to move forward. Sound Good?"</t>
  </si>
  <si>
    <t>"Oh, so let me ask you - would you be interested in learning more about how a bathroom remodel can increase your home’s value and provide a more luxurious bathroom?</t>
  </si>
  <si>
    <t xml:space="preserve">Remodel /Experts     </t>
  </si>
  <si>
    <r>
      <t>They are experts when it comes to the bathtub/shower area</t>
    </r>
    <r>
      <rPr>
        <sz val="11"/>
        <color theme="1"/>
        <rFont val="Calibri"/>
        <family val="2"/>
        <scheme val="minor"/>
      </rPr>
      <t xml:space="preserve">           </t>
    </r>
  </si>
  <si>
    <r>
      <t>They primarily focus on the wet area, due to the fact that 90% of the problems occur in the tub/shower area of the bathroom. However, they do have options on flooring and vanities. This is something you can discuss with your design consultant during the free consultation.</t>
    </r>
    <r>
      <rPr>
        <sz val="14"/>
        <color theme="1"/>
        <rFont val="Arial"/>
        <family val="2"/>
      </rPr>
      <t>  </t>
    </r>
  </si>
  <si>
    <t xml:space="preserve">Full Bath Remodel  </t>
  </si>
  <si>
    <t>Okay, and would you specifically be interested in converting your existing tub or shower into a walk-in tub?</t>
  </si>
  <si>
    <t>A walk-in tub is a bathtub with a watertight door and a seat that allows a person to safely step into a tub and then sit while soaking. Is that something you are interested in?</t>
  </si>
  <si>
    <t>Oh, I was just asking if you would be interested in learning more about a walk-in tub?</t>
  </si>
  <si>
    <t>Okay, uhm, I'm gonna go ahead and actually submit your request for a free in-home estimate. And based on your location, the 
company that will be calling you would be …..</t>
  </si>
  <si>
    <t>Yeah, and the companies that will be calling you would be ...</t>
  </si>
  <si>
    <t>Survey -Walk in Tub</t>
  </si>
  <si>
    <t>Survey -  Homeowner Long Repeat</t>
  </si>
  <si>
    <t>Survey - Homeowner Short Repeat</t>
  </si>
  <si>
    <t>Two of the greatest benefits of remodeling your bathroom are, of course, the increase in your home's value, but most people are doing it for their own personal enjoyment and improved functionality. I have just a few qualifying questions... first, do you own your own home?</t>
  </si>
  <si>
    <t xml:space="preserve"> Not Homeowner</t>
  </si>
  <si>
    <t>Yes Homeowner-Walk In Tub</t>
  </si>
  <si>
    <t>Survey- Walk in Tub SR</t>
  </si>
  <si>
    <t>Walk In Tub/SR</t>
  </si>
  <si>
    <t>What is a Walk in Tub</t>
  </si>
  <si>
    <t>Walk-in Tub? - Not Required</t>
  </si>
  <si>
    <t>Survey- Walk IN tub Required ?</t>
  </si>
  <si>
    <t xml:space="preserve">A walk-in tub isn't required. We have just found this is what a lot of people are interested in so I wanted to make note of your preferences. </t>
  </si>
  <si>
    <r>
      <t xml:space="preserve">Survey (Answer </t>
    </r>
    <r>
      <rPr>
        <sz val="11"/>
        <color rgb="FFFF0000"/>
        <rFont val="Calibri"/>
        <family val="2"/>
        <scheme val="minor"/>
      </rPr>
      <t>No or Yes</t>
    </r>
    <r>
      <rPr>
        <sz val="11"/>
        <color theme="1"/>
        <rFont val="Calibri"/>
        <family val="2"/>
        <scheme val="minor"/>
      </rPr>
      <t>)- New Construction</t>
    </r>
  </si>
  <si>
    <t>Survey - Mobile Home/Manufactured</t>
  </si>
  <si>
    <t>Survey - Mobile Home/Repeat</t>
  </si>
  <si>
    <t xml:space="preserve"> Next, is your home a mobile or manufactured home?</t>
  </si>
  <si>
    <t>Oh, I was just asking… is your home a mobile home or manufactured home</t>
  </si>
  <si>
    <t>Yes Mobile Home Manufactured</t>
  </si>
  <si>
    <t>Oh, so let me ask you – would you be interested in a free in-home estimate for a bathroom remodel?</t>
  </si>
  <si>
    <t>Philippines</t>
  </si>
  <si>
    <t>I hear ya. Let me just quickly let you know how I think we can benefit you. Remodeling your bathroom can really increase the value of your home, especially since the costs for remodeling bathrooms has really come down over the last few years with so many people choosing to do this. Second, the new showers, including walk-in tubs, have really become luxurious and just overall better. Now, I just have a few qualifying questions... first, do you own your own home?</t>
  </si>
  <si>
    <t>Survey -New Construction/Long</t>
  </si>
  <si>
    <t>Okay, well the reason we ask if your home is currently being built is because our partners do not install bathrooms in new construction. So is your home currently being built?</t>
  </si>
  <si>
    <t>Survey - New Construction/Short</t>
  </si>
  <si>
    <t>Survey -Not Qualify Mobile. Manufactured</t>
  </si>
  <si>
    <t>Mobile Home Manufactured - Repeat Long</t>
  </si>
  <si>
    <t>Mobile Home Manufactured - Repeat Short</t>
  </si>
  <si>
    <t>Okay, and for the next question, I don't need an exact score, just a ball park of how you would rate your credit score. Would you say it's poor, fair, good, or excellent?</t>
  </si>
  <si>
    <t>Credit Score?</t>
  </si>
  <si>
    <t>Survey - Credit</t>
  </si>
  <si>
    <t>Alright, so here's what's going to happen next. Good news you do qualify for that free in-home estimate for your bathroom so congratulations on that. The next step is to proceed um and get the details that way you can make an informed decision.. I’m excited for what we’ll be able to do to help you. Now based on your location the companies that will be calling you are ....</t>
  </si>
  <si>
    <t>So, it’s NAME, and that’s just spelled - - - - - - Did you get that?</t>
  </si>
  <si>
    <t>Ok well we actually received this number from an online inquiry for more information about bathrooms. Was that you or somebody else?</t>
  </si>
  <si>
    <t>Products are made out of a high-tech polymer that is non-porous which means there aren’t any holes for mold, mildew, dirt, and soap scum to stick in like with tile and grout. Our Design Consultants will bring out samples and will go over them during your free in home consultation </t>
  </si>
  <si>
    <t xml:space="preserve">Walk In Material  products </t>
  </si>
  <si>
    <t>You're under no obligation. This is a free service to see if a bathroom remodel would be a good option for you, okay?</t>
  </si>
  <si>
    <t>Brian Lee</t>
  </si>
  <si>
    <t>CanadaDirect</t>
  </si>
  <si>
    <t>So it’s Canada Direct and that’s spelled, C-A-N-A-D-A D-I-R-E-C-T Did you get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</si>
</sst>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lt;=9999999]###\-####;\(###\)\ ###\-####"/>
  </numFmts>
  <fonts count="20" x14ac:knownFonts="1">
    <font>
      <sz val="11"/>
      <color theme="1"/>
      <name val="Calibri"/>
      <family val="2"/>
      <scheme val="minor"/>
    </font>
    <font>
      <b/>
      <sz val="11"/>
      <color theme="1"/>
      <name val="Calibri"/>
      <family val="2"/>
      <scheme val="minor"/>
    </font>
    <font>
      <b/>
      <u/>
      <sz val="11"/>
      <color theme="1"/>
      <name val="Calibri"/>
      <family val="2"/>
      <scheme val="minor"/>
    </font>
    <font>
      <sz val="11"/>
      <color theme="4"/>
      <name val="Calibri"/>
      <family val="2"/>
      <scheme val="minor"/>
    </font>
    <font>
      <u/>
      <sz val="11"/>
      <color theme="10"/>
      <name val="Calibri"/>
      <family val="2"/>
      <scheme val="minor"/>
    </font>
    <font>
      <sz val="11"/>
      <color theme="9"/>
      <name val="Calibri"/>
      <family val="2"/>
      <scheme val="minor"/>
    </font>
    <font>
      <sz val="11"/>
      <name val="Calibri"/>
      <family val="2"/>
      <scheme val="minor"/>
    </font>
    <font>
      <b/>
      <sz val="11"/>
      <color theme="4"/>
      <name val="Calibri"/>
      <family val="2"/>
      <scheme val="minor"/>
    </font>
    <font>
      <sz val="11"/>
      <color rgb="FFFF0000"/>
      <name val="Calibri"/>
      <family val="2"/>
      <scheme val="minor"/>
    </font>
    <font>
      <b/>
      <sz val="11"/>
      <color theme="1"/>
      <name val="Calibri"/>
      <family val="2"/>
    </font>
    <font>
      <sz val="11"/>
      <color theme="1"/>
      <name val="Calibri"/>
      <family val="2"/>
    </font>
    <font>
      <b/>
      <sz val="10"/>
      <color rgb="FFFF0000"/>
      <name val="Calibri"/>
      <family val="2"/>
      <scheme val="minor"/>
    </font>
    <font>
      <b/>
      <sz val="11"/>
      <name val="Calibri"/>
      <family val="2"/>
      <scheme val="minor"/>
    </font>
    <font>
      <sz val="11"/>
      <color rgb="FF70AD47"/>
      <name val="Calibri"/>
      <family val="2"/>
      <scheme val="minor"/>
    </font>
    <font>
      <sz val="11"/>
      <color rgb="FF222222"/>
      <name val="Calibri"/>
      <family val="2"/>
      <scheme val="minor"/>
    </font>
    <font>
      <sz val="14"/>
      <color theme="1"/>
      <name val="Arial"/>
      <family val="2"/>
    </font>
    <font>
      <b/>
      <sz val="11"/>
      <color rgb="FF525252"/>
      <name val="Calibri"/>
      <family val="2"/>
      <scheme val="minor"/>
    </font>
    <font>
      <sz val="11"/>
      <color rgb="FF525252"/>
      <name val="Calibri"/>
      <family val="2"/>
      <scheme val="minor"/>
    </font>
    <font>
      <sz val="11"/>
      <color rgb="FF000000"/>
      <name val="Calibri"/>
      <family val="2"/>
      <scheme val="minor"/>
    </font>
    <font>
      <sz val="11"/>
      <color rgb="FF000000"/>
      <name val="Calibri"/>
      <family val="2"/>
    </font>
  </fonts>
  <fills count="6">
    <fill>
      <patternFill patternType="none"/>
    </fill>
    <fill>
      <patternFill patternType="gray125"/>
    </fill>
    <fill>
      <patternFill patternType="solid">
        <fgColor theme="4"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57">
    <xf numFmtId="0" fontId="0" fillId="0" borderId="0" xfId="0"/>
    <xf numFmtId="0" fontId="1" fillId="0" borderId="0" xfId="0" applyFont="1"/>
    <xf numFmtId="0" fontId="0" fillId="0" borderId="0" xfId="0" applyAlignment="1">
      <alignment horizontal="left" indent="1"/>
    </xf>
    <xf numFmtId="0" fontId="0" fillId="0" borderId="1" xfId="0" applyBorder="1" applyAlignment="1">
      <alignment horizontal="left" indent="1"/>
    </xf>
    <xf numFmtId="0" fontId="1" fillId="0" borderId="0" xfId="0" applyFont="1" applyAlignment="1">
      <alignment horizontal="left" indent="1"/>
    </xf>
    <xf numFmtId="0" fontId="0" fillId="0" borderId="0" xfId="0" quotePrefix="1" applyAlignment="1">
      <alignment horizontal="left" indent="1"/>
    </xf>
    <xf numFmtId="0" fontId="0" fillId="0" borderId="0" xfId="0" applyAlignment="1">
      <alignment horizontal="left"/>
    </xf>
    <xf numFmtId="165" fontId="0" fillId="0" borderId="0" xfId="0" applyNumberFormat="1" applyAlignment="1">
      <alignment horizontal="left" indent="1"/>
    </xf>
    <xf numFmtId="0" fontId="4" fillId="0" borderId="0" xfId="1" applyAlignment="1">
      <alignment horizontal="left" indent="1"/>
    </xf>
    <xf numFmtId="0" fontId="3" fillId="0" borderId="0" xfId="0" applyFont="1" applyAlignment="1">
      <alignment horizontal="left" indent="1"/>
    </xf>
    <xf numFmtId="0" fontId="1" fillId="0" borderId="0" xfId="0" applyFont="1" applyAlignment="1">
      <alignment horizontal="left"/>
    </xf>
    <xf numFmtId="0" fontId="0" fillId="4" borderId="0" xfId="0" applyFill="1"/>
    <xf numFmtId="0" fontId="0" fillId="5" borderId="0" xfId="0" applyFill="1"/>
    <xf numFmtId="0" fontId="0" fillId="0" borderId="0" xfId="0" applyAlignment="1">
      <alignment vertical="center"/>
    </xf>
    <xf numFmtId="0" fontId="14" fillId="0" borderId="0" xfId="0" applyFont="1"/>
    <xf numFmtId="0" fontId="0" fillId="0" borderId="0" xfId="0" applyAlignment="1">
      <alignment horizontal="left" wrapText="1"/>
    </xf>
    <xf numFmtId="9" fontId="0" fillId="0" borderId="0" xfId="0" applyNumberFormat="1"/>
    <xf numFmtId="9" fontId="0" fillId="0" borderId="0" xfId="0" applyNumberFormat="1" applyAlignment="1">
      <alignment horizontal="center"/>
    </xf>
    <xf numFmtId="0" fontId="0" fillId="0" borderId="0" xfId="0" applyAlignment="1">
      <alignment horizontal="center"/>
    </xf>
    <xf numFmtId="9" fontId="0" fillId="0" borderId="0" xfId="0" applyNumberFormat="1" applyAlignment="1">
      <alignment horizontal="left" indent="1"/>
    </xf>
    <xf numFmtId="164" fontId="0" fillId="0" borderId="0" xfId="0" applyNumberFormat="1" applyAlignment="1">
      <alignment horizontal="left"/>
    </xf>
    <xf numFmtId="0" fontId="3" fillId="0" borderId="0" xfId="0" applyFont="1" applyAlignment="1">
      <alignment vertical="top" wrapText="1"/>
    </xf>
    <xf numFmtId="0" fontId="0" fillId="0" borderId="0" xfId="0" applyAlignment="1">
      <alignment wrapText="1"/>
    </xf>
    <xf numFmtId="0" fontId="3" fillId="0" borderId="0" xfId="0" applyFont="1"/>
    <xf numFmtId="0" fontId="6" fillId="0" borderId="0" xfId="0" applyFont="1" applyAlignment="1">
      <alignment horizontal="left"/>
    </xf>
    <xf numFmtId="0" fontId="1" fillId="0" borderId="0" xfId="0" applyFont="1" applyAlignment="1">
      <alignment horizontal="left" wrapText="1"/>
    </xf>
    <xf numFmtId="0" fontId="2" fillId="0" borderId="0" xfId="0" applyFont="1" applyAlignment="1">
      <alignment horizontal="left"/>
    </xf>
    <xf numFmtId="0" fontId="11" fillId="0" borderId="0" xfId="0" applyFont="1" applyAlignment="1">
      <alignment horizontal="justify" vertical="center"/>
    </xf>
    <xf numFmtId="0" fontId="9" fillId="0" borderId="0" xfId="0" applyFont="1" applyAlignment="1">
      <alignment horizontal="left"/>
    </xf>
    <xf numFmtId="0" fontId="10" fillId="0" borderId="0" xfId="0" applyFont="1" applyAlignment="1">
      <alignment horizontal="left"/>
    </xf>
    <xf numFmtId="0" fontId="1" fillId="0" borderId="0" xfId="0" applyFont="1" applyAlignment="1">
      <alignment wrapText="1"/>
    </xf>
    <xf numFmtId="0" fontId="3" fillId="0" borderId="0" xfId="0" applyFont="1" applyAlignment="1">
      <alignment horizontal="left"/>
    </xf>
    <xf numFmtId="0" fontId="7" fillId="0" borderId="0" xfId="0" applyFont="1" applyAlignment="1">
      <alignment horizontal="left"/>
    </xf>
    <xf numFmtId="0" fontId="3" fillId="0" borderId="0" xfId="0" applyFont="1" applyAlignment="1">
      <alignment horizontal="left" vertical="center"/>
    </xf>
    <xf numFmtId="0" fontId="2" fillId="0" borderId="0" xfId="0" applyFont="1"/>
    <xf numFmtId="0" fontId="3" fillId="0" borderId="0" xfId="0" applyFont="1" applyAlignment="1">
      <alignment horizontal="left" wrapText="1"/>
    </xf>
    <xf numFmtId="0" fontId="5" fillId="0" borderId="0" xfId="0" applyFont="1"/>
    <xf numFmtId="0" fontId="3" fillId="0" borderId="0" xfId="0" applyFont="1" applyAlignment="1">
      <alignment wrapText="1"/>
    </xf>
    <xf numFmtId="0" fontId="13" fillId="0" borderId="0" xfId="0" applyFont="1"/>
    <xf numFmtId="0" fontId="0" fillId="0" borderId="0" xfId="0" applyAlignment="1">
      <alignment horizontal="left" vertical="top" indent="1"/>
    </xf>
    <xf numFmtId="0" fontId="0" fillId="0" borderId="0" xfId="0" applyAlignment="1">
      <alignment horizontal="left" vertical="top"/>
    </xf>
    <xf numFmtId="0" fontId="16" fillId="0" borderId="0" xfId="0" applyFont="1"/>
    <xf numFmtId="0" fontId="17" fillId="0" borderId="0" xfId="0" applyFont="1"/>
    <xf numFmtId="0" fontId="18" fillId="0" borderId="0" xfId="0" applyFont="1"/>
    <xf numFmtId="0" fontId="19" fillId="5" borderId="2" xfId="0" applyFont="1" applyFill="1" applyBorder="1"/>
    <xf numFmtId="0" fontId="0" fillId="0" borderId="0" xfId="0" applyAlignment="1">
      <alignment vertical="center" wrapText="1"/>
    </xf>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top" wrapText="1"/>
    </xf>
    <xf numFmtId="0" fontId="3" fillId="0" borderId="0" xfId="0" applyFont="1" applyAlignment="1">
      <alignment horizontal="left" wrapText="1"/>
    </xf>
    <xf numFmtId="0" fontId="12" fillId="0" borderId="0" xfId="0" applyFont="1" applyAlignment="1">
      <alignment horizontal="left" wrapText="1"/>
    </xf>
    <xf numFmtId="0" fontId="6" fillId="0" borderId="0" xfId="0" applyFont="1" applyAlignment="1">
      <alignment horizontal="left" wrapText="1"/>
    </xf>
    <xf numFmtId="0" fontId="1" fillId="0" borderId="0" xfId="0" applyFont="1" applyAlignment="1">
      <alignment horizontal="center"/>
    </xf>
    <xf numFmtId="0" fontId="3" fillId="0" borderId="0" xfId="0" applyFont="1" applyAlignment="1">
      <alignment horizontal="left"/>
    </xf>
    <xf numFmtId="0" fontId="1" fillId="0" borderId="0" xfId="0" applyFont="1" applyAlignment="1">
      <alignment horizontal="left" wrapText="1"/>
    </xf>
    <xf numFmtId="0" fontId="2" fillId="2" borderId="0" xfId="0" applyFont="1" applyFill="1" applyAlignment="1">
      <alignment horizontal="center"/>
    </xf>
    <xf numFmtId="0" fontId="1"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superiorhomeproj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25F6D-5372-487E-B96A-CC96F3A3D915}">
  <dimension ref="A2:L365"/>
  <sheetViews>
    <sheetView showGridLines="0" tabSelected="1" topLeftCell="B1" zoomScale="145" zoomScaleNormal="145" workbookViewId="0">
      <selection activeCell="C313" sqref="C313"/>
    </sheetView>
  </sheetViews>
  <sheetFormatPr defaultRowHeight="14.4" x14ac:dyDescent="0.3"/>
  <cols>
    <col min="1" max="1" width="44" style="10" bestFit="1" customWidth="1"/>
    <col min="2" max="2" width="17.109375" customWidth="1"/>
    <col min="3" max="3" width="109.5546875" customWidth="1"/>
    <col min="4" max="4" width="7.5546875" customWidth="1"/>
    <col min="5" max="5" width="9.109375" customWidth="1"/>
    <col min="6" max="6" width="24" style="2" customWidth="1"/>
    <col min="7" max="7" width="19.33203125" style="2" customWidth="1"/>
    <col min="8" max="8" width="6" customWidth="1"/>
    <col min="9" max="10" width="18" customWidth="1"/>
    <col min="11" max="17" width="9.109375" customWidth="1"/>
  </cols>
  <sheetData>
    <row r="2" spans="1:10" x14ac:dyDescent="0.3">
      <c r="A2" s="55" t="s">
        <v>517</v>
      </c>
      <c r="B2" s="55"/>
      <c r="C2" s="55"/>
    </row>
    <row r="3" spans="1:10" x14ac:dyDescent="0.3">
      <c r="I3" s="4" t="s">
        <v>13</v>
      </c>
      <c r="J3" s="2"/>
    </row>
    <row r="4" spans="1:10" x14ac:dyDescent="0.3">
      <c r="A4" s="56" t="s">
        <v>76</v>
      </c>
      <c r="B4" s="56"/>
      <c r="C4" s="56"/>
      <c r="F4" s="4" t="s">
        <v>156</v>
      </c>
      <c r="G4" s="2" t="s">
        <v>598</v>
      </c>
      <c r="I4" s="4"/>
      <c r="J4" s="2"/>
    </row>
    <row r="5" spans="1:10" x14ac:dyDescent="0.3">
      <c r="F5" s="4" t="s">
        <v>449</v>
      </c>
      <c r="G5" s="2" t="s">
        <v>458</v>
      </c>
      <c r="I5" s="3" t="s">
        <v>4</v>
      </c>
      <c r="J5" s="3" t="s">
        <v>28</v>
      </c>
    </row>
    <row r="6" spans="1:10" x14ac:dyDescent="0.3">
      <c r="A6" s="20" t="s">
        <v>380</v>
      </c>
      <c r="B6" s="1" t="s">
        <v>76</v>
      </c>
      <c r="F6" s="4" t="s">
        <v>154</v>
      </c>
      <c r="G6" s="2" t="s">
        <v>599</v>
      </c>
      <c r="I6" s="3" t="s">
        <v>5</v>
      </c>
      <c r="J6" s="3" t="s">
        <v>8</v>
      </c>
    </row>
    <row r="7" spans="1:10" x14ac:dyDescent="0.3">
      <c r="B7" t="s">
        <v>1</v>
      </c>
      <c r="F7" s="4" t="s">
        <v>153</v>
      </c>
      <c r="G7" s="2" t="s">
        <v>581</v>
      </c>
      <c r="I7" s="3" t="s">
        <v>6</v>
      </c>
      <c r="J7" s="3" t="s">
        <v>9</v>
      </c>
    </row>
    <row r="8" spans="1:10" x14ac:dyDescent="0.3">
      <c r="F8" s="4" t="s">
        <v>146</v>
      </c>
      <c r="G8" s="7"/>
      <c r="I8" s="3" t="s">
        <v>7</v>
      </c>
      <c r="J8" s="3" t="s">
        <v>12</v>
      </c>
    </row>
    <row r="9" spans="1:10" x14ac:dyDescent="0.3">
      <c r="A9" s="6" t="s">
        <v>381</v>
      </c>
      <c r="C9" s="1" t="s">
        <v>77</v>
      </c>
      <c r="F9" s="4" t="s">
        <v>147</v>
      </c>
      <c r="G9" s="7"/>
      <c r="I9" s="3" t="s">
        <v>14</v>
      </c>
      <c r="J9" s="3" t="s">
        <v>11</v>
      </c>
    </row>
    <row r="10" spans="1:10" x14ac:dyDescent="0.3">
      <c r="A10" s="6"/>
      <c r="C10" t="s">
        <v>83</v>
      </c>
      <c r="F10" s="4" t="s">
        <v>155</v>
      </c>
      <c r="G10" s="8" t="s">
        <v>494</v>
      </c>
    </row>
    <row r="11" spans="1:10" x14ac:dyDescent="0.3">
      <c r="A11" s="6"/>
      <c r="F11" s="4" t="s">
        <v>450</v>
      </c>
      <c r="G11" s="8" t="s">
        <v>511</v>
      </c>
    </row>
    <row r="12" spans="1:10" x14ac:dyDescent="0.3">
      <c r="A12" s="6" t="s">
        <v>382</v>
      </c>
      <c r="C12" s="1" t="s">
        <v>79</v>
      </c>
    </row>
    <row r="13" spans="1:10" ht="30" customHeight="1" x14ac:dyDescent="0.3">
      <c r="A13" s="6"/>
      <c r="C13" s="21" t="str">
        <f>"This is, "&amp;G4&amp;", calling on behalf of "&amp;G5&amp;". It's really nothing urgent though and we'll just plan on calling
 back at another time, but thank you so much for your time and I hope you have a great day. Bye-bye."</f>
        <v>This is, Brian Lee, calling on behalf of Superior Home. It's really nothing urgent though and we'll just plan on calling
 back at another time, but thank you so much for your time and I hope you have a great day. Bye-bye.</v>
      </c>
      <c r="F13" s="5"/>
    </row>
    <row r="14" spans="1:10" x14ac:dyDescent="0.3">
      <c r="A14" s="6"/>
    </row>
    <row r="15" spans="1:10" x14ac:dyDescent="0.3">
      <c r="A15" s="6" t="s">
        <v>383</v>
      </c>
      <c r="C15" s="1" t="s">
        <v>78</v>
      </c>
    </row>
    <row r="16" spans="1:10" ht="43.2" x14ac:dyDescent="0.3">
      <c r="A16" s="6"/>
      <c r="C16" s="22" t="s">
        <v>495</v>
      </c>
    </row>
    <row r="17" spans="1:3" x14ac:dyDescent="0.3">
      <c r="A17" s="6"/>
    </row>
    <row r="18" spans="1:3" x14ac:dyDescent="0.3">
      <c r="A18" s="6" t="s">
        <v>384</v>
      </c>
      <c r="C18" s="1" t="s">
        <v>80</v>
      </c>
    </row>
    <row r="19" spans="1:3" ht="29.1" customHeight="1" x14ac:dyDescent="0.3">
      <c r="A19" s="6"/>
      <c r="C19" s="22" t="s">
        <v>516</v>
      </c>
    </row>
    <row r="20" spans="1:3" x14ac:dyDescent="0.3">
      <c r="A20" s="6"/>
    </row>
    <row r="21" spans="1:3" x14ac:dyDescent="0.3">
      <c r="A21" s="6" t="s">
        <v>391</v>
      </c>
      <c r="C21" s="1" t="s">
        <v>81</v>
      </c>
    </row>
    <row r="22" spans="1:3" x14ac:dyDescent="0.3">
      <c r="C22" t="s">
        <v>2</v>
      </c>
    </row>
    <row r="24" spans="1:3" x14ac:dyDescent="0.3">
      <c r="A24" s="52" t="s">
        <v>0</v>
      </c>
      <c r="B24" s="52"/>
      <c r="C24" s="52"/>
    </row>
    <row r="26" spans="1:3" x14ac:dyDescent="0.3">
      <c r="A26" s="6" t="s">
        <v>385</v>
      </c>
      <c r="B26" s="1" t="s">
        <v>84</v>
      </c>
    </row>
    <row r="27" spans="1:3" x14ac:dyDescent="0.3">
      <c r="A27" s="6"/>
      <c r="B27" s="23" t="str">
        <f>"Hi, this is, "&amp;G4&amp;", calling on behalf of "&amp;G5&amp;". How are you today?"</f>
        <v>Hi, this is, Brian Lee, calling on behalf of Superior Home. How are you today?</v>
      </c>
    </row>
    <row r="28" spans="1:3" x14ac:dyDescent="0.3">
      <c r="A28" s="6"/>
    </row>
    <row r="29" spans="1:3" x14ac:dyDescent="0.3">
      <c r="A29" s="6" t="s">
        <v>386</v>
      </c>
      <c r="B29" s="1" t="s">
        <v>85</v>
      </c>
    </row>
    <row r="30" spans="1:3" x14ac:dyDescent="0.3">
      <c r="A30" s="6"/>
      <c r="B30" s="23" t="str">
        <f>"Hi, this is, "&amp;G4&amp;", from "&amp;G6&amp;" at, "&amp;LEFT(G8,3)&amp;"-"&amp;MID(G8,4,3)&amp;"-"&amp;RIGHT(G8,4)&amp;", calling on behalf of the "&amp;G5&amp;". How are you today?"</f>
        <v>Hi, this is, Brian Lee, from CanadaDirect at, --, calling on behalf of the Superior Home. How are you today?</v>
      </c>
    </row>
    <row r="31" spans="1:3" x14ac:dyDescent="0.3">
      <c r="A31" s="6"/>
    </row>
    <row r="32" spans="1:3" x14ac:dyDescent="0.3">
      <c r="A32" s="6" t="s">
        <v>451</v>
      </c>
      <c r="B32" s="1" t="s">
        <v>86</v>
      </c>
    </row>
    <row r="33" spans="1:6" x14ac:dyDescent="0.3">
      <c r="B33" s="23" t="str">
        <f>"Oh, I am with the "&amp;G5&amp;", and I am actually just calling back…"</f>
        <v>Oh, I am with the Superior Home, and I am actually just calling back…</v>
      </c>
    </row>
    <row r="35" spans="1:6" x14ac:dyDescent="0.3">
      <c r="A35" s="24" t="s">
        <v>387</v>
      </c>
      <c r="C35" s="1" t="s">
        <v>21</v>
      </c>
    </row>
    <row r="36" spans="1:6" x14ac:dyDescent="0.3">
      <c r="A36" s="24"/>
      <c r="C36" t="s">
        <v>22</v>
      </c>
    </row>
    <row r="37" spans="1:6" x14ac:dyDescent="0.3">
      <c r="A37" s="24"/>
    </row>
    <row r="38" spans="1:6" x14ac:dyDescent="0.3">
      <c r="A38" s="24" t="s">
        <v>388</v>
      </c>
      <c r="C38" s="1" t="s">
        <v>23</v>
      </c>
    </row>
    <row r="39" spans="1:6" x14ac:dyDescent="0.3">
      <c r="A39" s="24"/>
      <c r="C39" t="s">
        <v>26</v>
      </c>
    </row>
    <row r="40" spans="1:6" x14ac:dyDescent="0.3">
      <c r="A40" s="24"/>
    </row>
    <row r="41" spans="1:6" x14ac:dyDescent="0.3">
      <c r="A41" s="24" t="s">
        <v>389</v>
      </c>
      <c r="C41" s="1" t="s">
        <v>24</v>
      </c>
    </row>
    <row r="42" spans="1:6" x14ac:dyDescent="0.3">
      <c r="A42" s="24"/>
      <c r="C42" t="s">
        <v>25</v>
      </c>
    </row>
    <row r="43" spans="1:6" x14ac:dyDescent="0.3">
      <c r="A43" s="24"/>
      <c r="C43" s="1"/>
    </row>
    <row r="44" spans="1:6" x14ac:dyDescent="0.3">
      <c r="A44" s="24" t="s">
        <v>390</v>
      </c>
      <c r="C44" s="1" t="s">
        <v>27</v>
      </c>
    </row>
    <row r="45" spans="1:6" x14ac:dyDescent="0.3">
      <c r="C45" t="s">
        <v>91</v>
      </c>
    </row>
    <row r="47" spans="1:6" x14ac:dyDescent="0.3">
      <c r="A47" s="52" t="s">
        <v>3</v>
      </c>
      <c r="B47" s="52"/>
      <c r="C47" s="52"/>
      <c r="F47" s="19"/>
    </row>
    <row r="49" spans="1:7" x14ac:dyDescent="0.3">
      <c r="A49" s="6" t="s">
        <v>392</v>
      </c>
      <c r="B49" s="1" t="s">
        <v>3</v>
      </c>
      <c r="F49" s="19"/>
    </row>
    <row r="50" spans="1:7" ht="64.5" customHeight="1" x14ac:dyDescent="0.3">
      <c r="B50" s="46" t="s">
        <v>500</v>
      </c>
      <c r="C50" s="46"/>
      <c r="F50" s="19"/>
      <c r="G50" s="19"/>
    </row>
    <row r="51" spans="1:7" ht="15" customHeight="1" x14ac:dyDescent="0.3">
      <c r="B51" s="15"/>
      <c r="C51" s="15"/>
    </row>
    <row r="52" spans="1:7" ht="15" customHeight="1" x14ac:dyDescent="0.3">
      <c r="A52" s="6" t="s">
        <v>393</v>
      </c>
      <c r="C52" s="25" t="s">
        <v>82</v>
      </c>
    </row>
    <row r="53" spans="1:7" ht="30" customHeight="1" x14ac:dyDescent="0.3">
      <c r="A53" s="6"/>
      <c r="C53" s="15" t="s">
        <v>496</v>
      </c>
    </row>
    <row r="54" spans="1:7" ht="15" customHeight="1" x14ac:dyDescent="0.3">
      <c r="A54" s="6"/>
      <c r="C54" s="15"/>
    </row>
    <row r="55" spans="1:7" ht="15" customHeight="1" x14ac:dyDescent="0.3">
      <c r="A55" s="6" t="s">
        <v>394</v>
      </c>
      <c r="C55" s="25" t="s">
        <v>439</v>
      </c>
    </row>
    <row r="56" spans="1:7" x14ac:dyDescent="0.3">
      <c r="B56" s="15"/>
      <c r="C56" s="15" t="s">
        <v>466</v>
      </c>
    </row>
    <row r="58" spans="1:7" x14ac:dyDescent="0.3">
      <c r="A58" s="52" t="s">
        <v>87</v>
      </c>
      <c r="B58" s="52"/>
      <c r="C58" s="52"/>
    </row>
    <row r="59" spans="1:7" x14ac:dyDescent="0.3">
      <c r="A59" s="26"/>
    </row>
    <row r="60" spans="1:7" x14ac:dyDescent="0.3">
      <c r="A60" s="6" t="s">
        <v>440</v>
      </c>
      <c r="B60" s="1" t="s">
        <v>497</v>
      </c>
      <c r="E60" s="1"/>
      <c r="F60" s="4"/>
    </row>
    <row r="61" spans="1:7" ht="38.1" customHeight="1" x14ac:dyDescent="0.3">
      <c r="B61" s="48" t="s">
        <v>501</v>
      </c>
      <c r="C61" s="48"/>
    </row>
    <row r="62" spans="1:7" ht="15" customHeight="1" x14ac:dyDescent="0.3">
      <c r="A62" s="6" t="s">
        <v>395</v>
      </c>
      <c r="B62" s="54" t="s">
        <v>498</v>
      </c>
      <c r="C62" s="54"/>
      <c r="F62" s="10"/>
    </row>
    <row r="63" spans="1:7" ht="30" customHeight="1" x14ac:dyDescent="0.3">
      <c r="A63" s="6"/>
      <c r="B63" s="46" t="s">
        <v>502</v>
      </c>
      <c r="C63" s="46"/>
      <c r="E63" s="17"/>
      <c r="F63" s="40"/>
    </row>
    <row r="64" spans="1:7" ht="15" customHeight="1" x14ac:dyDescent="0.3">
      <c r="A64" s="6"/>
      <c r="B64" s="25"/>
      <c r="C64" s="25"/>
      <c r="E64" s="18"/>
    </row>
    <row r="65" spans="1:12" ht="15" customHeight="1" x14ac:dyDescent="0.3">
      <c r="A65" s="6" t="s">
        <v>396</v>
      </c>
      <c r="B65" s="54" t="s">
        <v>499</v>
      </c>
      <c r="C65" s="54"/>
      <c r="E65" s="18"/>
      <c r="F65" s="10"/>
    </row>
    <row r="66" spans="1:12" ht="15" customHeight="1" x14ac:dyDescent="0.3">
      <c r="B66" s="46" t="s">
        <v>503</v>
      </c>
      <c r="C66" s="46"/>
      <c r="E66" s="17"/>
      <c r="F66" s="6"/>
    </row>
    <row r="67" spans="1:12" ht="15" customHeight="1" x14ac:dyDescent="0.3">
      <c r="B67" s="15"/>
      <c r="C67" s="15"/>
    </row>
    <row r="68" spans="1:12" ht="15" customHeight="1" x14ac:dyDescent="0.3">
      <c r="A68" s="6" t="s">
        <v>526</v>
      </c>
      <c r="B68" s="54" t="s">
        <v>527</v>
      </c>
      <c r="C68" s="54"/>
      <c r="G68" s="10"/>
    </row>
    <row r="69" spans="1:12" ht="45.75" customHeight="1" x14ac:dyDescent="0.3">
      <c r="B69" s="46" t="s">
        <v>525</v>
      </c>
      <c r="C69" s="46"/>
      <c r="G69" s="40"/>
    </row>
    <row r="70" spans="1:12" ht="15" customHeight="1" x14ac:dyDescent="0.3">
      <c r="A70" s="6" t="s">
        <v>529</v>
      </c>
      <c r="B70" s="54" t="s">
        <v>528</v>
      </c>
      <c r="C70" s="54"/>
      <c r="E70" s="16"/>
      <c r="F70" s="4"/>
    </row>
    <row r="71" spans="1:12" ht="65.25" customHeight="1" x14ac:dyDescent="0.3">
      <c r="B71" s="46" t="s">
        <v>524</v>
      </c>
      <c r="C71" s="46"/>
      <c r="F71" s="39"/>
    </row>
    <row r="72" spans="1:12" ht="15" customHeight="1" x14ac:dyDescent="0.3">
      <c r="B72" s="27"/>
      <c r="C72" s="15"/>
      <c r="F72" s="39"/>
    </row>
    <row r="73" spans="1:12" ht="15" customHeight="1" x14ac:dyDescent="0.3">
      <c r="A73" s="6" t="s">
        <v>530</v>
      </c>
      <c r="B73" s="54" t="s">
        <v>531</v>
      </c>
      <c r="C73" s="54"/>
    </row>
    <row r="74" spans="1:12" ht="60.75" customHeight="1" x14ac:dyDescent="0.3">
      <c r="B74" s="46" t="s">
        <v>582</v>
      </c>
      <c r="C74" s="46"/>
      <c r="E74" s="46"/>
      <c r="F74" s="46"/>
    </row>
    <row r="76" spans="1:12" x14ac:dyDescent="0.3">
      <c r="A76" s="6" t="s">
        <v>563</v>
      </c>
      <c r="B76" s="1" t="s">
        <v>532</v>
      </c>
      <c r="E76" s="1"/>
      <c r="F76"/>
    </row>
    <row r="77" spans="1:12" ht="38.25" customHeight="1" x14ac:dyDescent="0.3">
      <c r="B77" s="46" t="s">
        <v>565</v>
      </c>
      <c r="C77" s="47"/>
      <c r="E77" s="46"/>
      <c r="F77" s="46"/>
      <c r="G77" s="46"/>
      <c r="H77" s="46"/>
      <c r="I77" s="46"/>
      <c r="J77" s="46"/>
      <c r="K77" s="46"/>
      <c r="L77" s="46"/>
    </row>
    <row r="79" spans="1:12" x14ac:dyDescent="0.3">
      <c r="A79" s="6" t="s">
        <v>564</v>
      </c>
      <c r="B79" s="1" t="s">
        <v>534</v>
      </c>
    </row>
    <row r="80" spans="1:12" ht="15" customHeight="1" x14ac:dyDescent="0.3">
      <c r="B80" s="46" t="s">
        <v>533</v>
      </c>
      <c r="C80" s="47"/>
    </row>
    <row r="81" spans="1:12" ht="15" customHeight="1" x14ac:dyDescent="0.3">
      <c r="B81" s="15"/>
      <c r="C81" s="6"/>
    </row>
    <row r="82" spans="1:12" ht="15" customHeight="1" x14ac:dyDescent="0.3">
      <c r="A82" s="6" t="s">
        <v>478</v>
      </c>
      <c r="B82" s="1" t="s">
        <v>566</v>
      </c>
      <c r="C82" s="6"/>
    </row>
    <row r="83" spans="1:12" ht="32.25" customHeight="1" x14ac:dyDescent="0.3">
      <c r="B83" s="46" t="s">
        <v>477</v>
      </c>
      <c r="C83" s="47"/>
    </row>
    <row r="84" spans="1:12" ht="18" customHeight="1" x14ac:dyDescent="0.3">
      <c r="B84" s="15"/>
      <c r="C84" s="6"/>
    </row>
    <row r="85" spans="1:12" ht="17.25" customHeight="1" x14ac:dyDescent="0.3">
      <c r="A85" s="6" t="s">
        <v>562</v>
      </c>
      <c r="B85" s="1" t="s">
        <v>567</v>
      </c>
      <c r="C85" s="6"/>
    </row>
    <row r="86" spans="1:12" ht="18" customHeight="1" x14ac:dyDescent="0.3">
      <c r="A86" s="6"/>
      <c r="B86" s="42" t="s">
        <v>557</v>
      </c>
      <c r="C86" s="6"/>
    </row>
    <row r="87" spans="1:12" ht="11.25" customHeight="1" x14ac:dyDescent="0.3">
      <c r="A87" s="6"/>
      <c r="B87" s="41"/>
      <c r="C87" s="6"/>
    </row>
    <row r="88" spans="1:12" ht="18" customHeight="1" x14ac:dyDescent="0.3">
      <c r="A88" s="6" t="s">
        <v>568</v>
      </c>
      <c r="B88" s="41" t="s">
        <v>569</v>
      </c>
      <c r="C88" s="6"/>
    </row>
    <row r="89" spans="1:12" ht="18" customHeight="1" x14ac:dyDescent="0.3">
      <c r="A89" s="6"/>
      <c r="B89" s="43" t="s">
        <v>559</v>
      </c>
      <c r="C89" s="6"/>
    </row>
    <row r="90" spans="1:12" ht="18" customHeight="1" x14ac:dyDescent="0.3">
      <c r="A90" s="6"/>
      <c r="B90" s="41"/>
      <c r="C90" s="6"/>
    </row>
    <row r="91" spans="1:12" ht="18" customHeight="1" x14ac:dyDescent="0.3">
      <c r="A91" s="6" t="s">
        <v>572</v>
      </c>
      <c r="B91" s="41" t="s">
        <v>571</v>
      </c>
      <c r="C91" s="6"/>
    </row>
    <row r="92" spans="1:12" ht="18" customHeight="1" x14ac:dyDescent="0.3">
      <c r="A92" s="6"/>
      <c r="B92" s="43" t="s">
        <v>573</v>
      </c>
      <c r="C92" s="6"/>
    </row>
    <row r="94" spans="1:12" x14ac:dyDescent="0.3">
      <c r="A94" s="6" t="s">
        <v>574</v>
      </c>
      <c r="B94" s="28" t="s">
        <v>461</v>
      </c>
      <c r="E94" s="1"/>
      <c r="F94"/>
    </row>
    <row r="95" spans="1:12" x14ac:dyDescent="0.3">
      <c r="B95" s="29" t="s">
        <v>462</v>
      </c>
      <c r="E95" s="46"/>
      <c r="F95" s="46"/>
      <c r="G95" s="46"/>
      <c r="H95" s="46"/>
      <c r="I95" s="46"/>
      <c r="J95" s="46"/>
      <c r="K95" s="46"/>
      <c r="L95" s="46"/>
    </row>
    <row r="97" spans="1:12" x14ac:dyDescent="0.3">
      <c r="A97" s="6" t="s">
        <v>583</v>
      </c>
      <c r="B97" s="1" t="s">
        <v>464</v>
      </c>
      <c r="E97" s="1"/>
    </row>
    <row r="98" spans="1:12" ht="30.75" customHeight="1" x14ac:dyDescent="0.3">
      <c r="B98" s="46" t="s">
        <v>584</v>
      </c>
      <c r="C98" s="46"/>
      <c r="E98" s="48"/>
      <c r="F98" s="48"/>
      <c r="G98" s="48"/>
      <c r="H98" s="48"/>
      <c r="I98" s="48"/>
      <c r="J98" s="48"/>
      <c r="K98" s="48"/>
      <c r="L98" s="48"/>
    </row>
    <row r="99" spans="1:12" ht="15" customHeight="1" x14ac:dyDescent="0.3">
      <c r="B99" s="15"/>
      <c r="C99" s="15"/>
    </row>
    <row r="100" spans="1:12" ht="15" customHeight="1" x14ac:dyDescent="0.3">
      <c r="A100" s="6" t="s">
        <v>585</v>
      </c>
      <c r="B100" s="30" t="s">
        <v>463</v>
      </c>
      <c r="C100" s="30"/>
    </row>
    <row r="101" spans="1:12" ht="13.5" customHeight="1" x14ac:dyDescent="0.3">
      <c r="B101" s="46" t="s">
        <v>465</v>
      </c>
      <c r="C101" s="46"/>
    </row>
    <row r="103" spans="1:12" x14ac:dyDescent="0.3">
      <c r="A103" s="6" t="s">
        <v>478</v>
      </c>
      <c r="B103" s="1" t="s">
        <v>479</v>
      </c>
      <c r="C103" s="6"/>
    </row>
    <row r="104" spans="1:12" ht="30" customHeight="1" x14ac:dyDescent="0.3">
      <c r="B104" s="46" t="s">
        <v>477</v>
      </c>
      <c r="C104" s="47"/>
    </row>
    <row r="105" spans="1:12" ht="12.75" customHeight="1" x14ac:dyDescent="0.3">
      <c r="B105" s="15"/>
      <c r="C105" s="6"/>
    </row>
    <row r="106" spans="1:12" ht="16.5" customHeight="1" x14ac:dyDescent="0.3">
      <c r="A106" s="6" t="s">
        <v>575</v>
      </c>
      <c r="B106" s="1" t="s">
        <v>587</v>
      </c>
    </row>
    <row r="107" spans="1:12" ht="17.25" customHeight="1" x14ac:dyDescent="0.3">
      <c r="A107"/>
      <c r="B107" s="46" t="s">
        <v>577</v>
      </c>
      <c r="C107" s="47"/>
    </row>
    <row r="108" spans="1:12" ht="12.75" customHeight="1" x14ac:dyDescent="0.3">
      <c r="B108" s="15"/>
      <c r="C108" s="6"/>
    </row>
    <row r="109" spans="1:12" ht="15" customHeight="1" x14ac:dyDescent="0.3">
      <c r="A109" s="6" t="s">
        <v>576</v>
      </c>
      <c r="B109" s="1" t="s">
        <v>588</v>
      </c>
    </row>
    <row r="110" spans="1:12" ht="15" customHeight="1" x14ac:dyDescent="0.3">
      <c r="A110" s="6"/>
      <c r="B110" s="46" t="s">
        <v>578</v>
      </c>
      <c r="C110" s="47"/>
    </row>
    <row r="111" spans="1:12" ht="13.5" customHeight="1" x14ac:dyDescent="0.3">
      <c r="A111"/>
      <c r="B111" s="46"/>
      <c r="C111" s="47"/>
    </row>
    <row r="112" spans="1:12" ht="18" customHeight="1" x14ac:dyDescent="0.3">
      <c r="A112" s="6" t="s">
        <v>586</v>
      </c>
      <c r="B112" s="1" t="s">
        <v>579</v>
      </c>
      <c r="C112" s="6"/>
    </row>
    <row r="113" spans="1:3" ht="34.5" customHeight="1" x14ac:dyDescent="0.3">
      <c r="A113"/>
      <c r="B113" s="46" t="s">
        <v>477</v>
      </c>
      <c r="C113" s="47"/>
    </row>
    <row r="114" spans="1:3" ht="24" customHeight="1" x14ac:dyDescent="0.3">
      <c r="B114" s="15"/>
      <c r="C114" s="6"/>
    </row>
    <row r="115" spans="1:3" ht="13.5" customHeight="1" x14ac:dyDescent="0.3">
      <c r="A115" s="6" t="s">
        <v>591</v>
      </c>
      <c r="B115" s="1" t="s">
        <v>590</v>
      </c>
    </row>
    <row r="116" spans="1:3" ht="33.75" customHeight="1" x14ac:dyDescent="0.3">
      <c r="B116" s="46" t="s">
        <v>589</v>
      </c>
      <c r="C116" s="46"/>
    </row>
    <row r="117" spans="1:3" ht="13.5" customHeight="1" x14ac:dyDescent="0.3">
      <c r="B117" s="15"/>
      <c r="C117" s="6"/>
    </row>
    <row r="118" spans="1:3" x14ac:dyDescent="0.3">
      <c r="A118" s="52" t="s">
        <v>16</v>
      </c>
      <c r="B118" s="52"/>
      <c r="C118" s="52"/>
    </row>
    <row r="119" spans="1:3" ht="14.25" customHeight="1" x14ac:dyDescent="0.3"/>
    <row r="120" spans="1:3" x14ac:dyDescent="0.3">
      <c r="A120" s="6" t="s">
        <v>476</v>
      </c>
      <c r="B120" s="1" t="s">
        <v>15</v>
      </c>
    </row>
    <row r="121" spans="1:3" ht="53.25" customHeight="1" x14ac:dyDescent="0.3">
      <c r="B121" s="46" t="s">
        <v>592</v>
      </c>
      <c r="C121" s="47"/>
    </row>
    <row r="122" spans="1:3" ht="13.5" customHeight="1" x14ac:dyDescent="0.3"/>
    <row r="123" spans="1:3" x14ac:dyDescent="0.3">
      <c r="A123" s="6" t="s">
        <v>397</v>
      </c>
      <c r="B123" s="1" t="s">
        <v>93</v>
      </c>
    </row>
    <row r="124" spans="1:3" ht="30" customHeight="1" x14ac:dyDescent="0.3">
      <c r="B124" s="46" t="s">
        <v>560</v>
      </c>
      <c r="C124" s="47"/>
    </row>
    <row r="126" spans="1:3" x14ac:dyDescent="0.3">
      <c r="A126" s="6" t="s">
        <v>398</v>
      </c>
      <c r="B126" s="1" t="s">
        <v>92</v>
      </c>
    </row>
    <row r="127" spans="1:3" x14ac:dyDescent="0.3">
      <c r="B127" t="s">
        <v>561</v>
      </c>
    </row>
    <row r="129" spans="1:3" x14ac:dyDescent="0.3">
      <c r="A129" s="52" t="s">
        <v>88</v>
      </c>
      <c r="B129" s="52"/>
      <c r="C129" s="52"/>
    </row>
    <row r="131" spans="1:3" x14ac:dyDescent="0.3">
      <c r="A131" s="6" t="s">
        <v>399</v>
      </c>
      <c r="B131" s="1" t="s">
        <v>17</v>
      </c>
    </row>
    <row r="132" spans="1:3" ht="51.75" customHeight="1" x14ac:dyDescent="0.3">
      <c r="B132" s="46" t="s">
        <v>515</v>
      </c>
      <c r="C132" s="47"/>
    </row>
    <row r="133" spans="1:3" ht="15" customHeight="1" x14ac:dyDescent="0.3">
      <c r="B133" s="15"/>
      <c r="C133" s="6"/>
    </row>
    <row r="134" spans="1:3" ht="15" customHeight="1" x14ac:dyDescent="0.3">
      <c r="A134" s="6" t="s">
        <v>480</v>
      </c>
      <c r="B134" s="54" t="s">
        <v>94</v>
      </c>
      <c r="C134" s="54"/>
    </row>
    <row r="135" spans="1:3" ht="48" customHeight="1" x14ac:dyDescent="0.3">
      <c r="B135" s="46" t="s">
        <v>514</v>
      </c>
      <c r="C135" s="46"/>
    </row>
    <row r="136" spans="1:3" ht="15" customHeight="1" x14ac:dyDescent="0.3">
      <c r="B136" s="15"/>
      <c r="C136" s="6"/>
    </row>
    <row r="137" spans="1:3" x14ac:dyDescent="0.3">
      <c r="A137" s="6" t="s">
        <v>481</v>
      </c>
      <c r="B137" s="54" t="s">
        <v>94</v>
      </c>
      <c r="C137" s="54"/>
    </row>
    <row r="138" spans="1:3" ht="16.5" customHeight="1" x14ac:dyDescent="0.3">
      <c r="B138" s="47" t="s">
        <v>504</v>
      </c>
      <c r="C138" s="47"/>
    </row>
    <row r="139" spans="1:3" ht="19.5" customHeight="1" x14ac:dyDescent="0.3">
      <c r="B139" s="15"/>
      <c r="C139" s="15"/>
    </row>
    <row r="140" spans="1:3" x14ac:dyDescent="0.3">
      <c r="A140" s="52" t="s">
        <v>89</v>
      </c>
      <c r="B140" s="52"/>
      <c r="C140" s="52"/>
    </row>
    <row r="141" spans="1:3" ht="15.75" customHeight="1" x14ac:dyDescent="0.3"/>
    <row r="142" spans="1:3" x14ac:dyDescent="0.3">
      <c r="A142" s="31" t="str">
        <f>"Transfer - "&amp;B142</f>
        <v>Transfer - Generic</v>
      </c>
      <c r="B142" s="1" t="s">
        <v>407</v>
      </c>
    </row>
    <row r="143" spans="1:3" ht="42.75" customHeight="1" x14ac:dyDescent="0.3">
      <c r="B143" s="51" t="s">
        <v>459</v>
      </c>
      <c r="C143" s="51"/>
    </row>
    <row r="145" spans="1:3" x14ac:dyDescent="0.3">
      <c r="A145" s="6" t="s">
        <v>404</v>
      </c>
      <c r="B145" s="1" t="s">
        <v>405</v>
      </c>
    </row>
    <row r="146" spans="1:3" x14ac:dyDescent="0.3">
      <c r="B146" s="48" t="s">
        <v>406</v>
      </c>
      <c r="C146" s="48"/>
    </row>
    <row r="147" spans="1:3" ht="19.5" customHeight="1" x14ac:dyDescent="0.3">
      <c r="A147" s="6"/>
      <c r="B147" s="15"/>
      <c r="C147" s="15"/>
    </row>
    <row r="148" spans="1:3" ht="20.25" customHeight="1" x14ac:dyDescent="0.3">
      <c r="A148" s="24" t="s">
        <v>482</v>
      </c>
      <c r="B148" s="50" t="s">
        <v>482</v>
      </c>
      <c r="C148" s="51"/>
    </row>
    <row r="149" spans="1:3" ht="47.25" customHeight="1" x14ac:dyDescent="0.3">
      <c r="A149" s="24"/>
      <c r="B149" s="51" t="s">
        <v>483</v>
      </c>
      <c r="C149" s="51"/>
    </row>
    <row r="150" spans="1:3" ht="19.5" customHeight="1" x14ac:dyDescent="0.3">
      <c r="B150" s="15"/>
      <c r="C150" s="15"/>
    </row>
    <row r="151" spans="1:3" x14ac:dyDescent="0.3">
      <c r="A151" s="31" t="s">
        <v>447</v>
      </c>
      <c r="B151" s="1" t="s">
        <v>448</v>
      </c>
    </row>
    <row r="152" spans="1:3" x14ac:dyDescent="0.3">
      <c r="A152" s="32"/>
      <c r="B152" s="33" t="str">
        <f>"Hi, this is "&amp;G4&amp;" with the "&amp;G5&amp;" and I have a qualified candidate on the line that I would like you to help. Thank you!"</f>
        <v>Hi, this is Brian Lee with the Superior Home and I have a qualified candidate on the line that I would like you to help. Thank you!</v>
      </c>
    </row>
    <row r="153" spans="1:3" ht="30" customHeight="1" x14ac:dyDescent="0.3"/>
    <row r="154" spans="1:3" x14ac:dyDescent="0.3">
      <c r="A154" s="6" t="s">
        <v>400</v>
      </c>
      <c r="C154" s="1" t="s">
        <v>95</v>
      </c>
    </row>
    <row r="155" spans="1:3" ht="28.8" x14ac:dyDescent="0.3">
      <c r="C155" s="22" t="s">
        <v>96</v>
      </c>
    </row>
    <row r="156" spans="1:3" ht="19.5" customHeight="1" x14ac:dyDescent="0.3">
      <c r="B156" s="15"/>
      <c r="C156" s="15"/>
    </row>
    <row r="157" spans="1:3" ht="19.5" customHeight="1" x14ac:dyDescent="0.3">
      <c r="A157" s="6" t="s">
        <v>484</v>
      </c>
      <c r="B157" s="1" t="s">
        <v>486</v>
      </c>
    </row>
    <row r="158" spans="1:3" ht="40.5" customHeight="1" x14ac:dyDescent="0.3">
      <c r="B158" s="48" t="s">
        <v>485</v>
      </c>
      <c r="C158" s="48"/>
    </row>
    <row r="160" spans="1:3" x14ac:dyDescent="0.3">
      <c r="A160" s="6" t="s">
        <v>401</v>
      </c>
      <c r="B160" s="1" t="s">
        <v>97</v>
      </c>
    </row>
    <row r="161" spans="1:3" x14ac:dyDescent="0.3">
      <c r="B161" t="s">
        <v>98</v>
      </c>
    </row>
    <row r="163" spans="1:3" x14ac:dyDescent="0.3">
      <c r="A163" s="6" t="s">
        <v>402</v>
      </c>
      <c r="C163" s="1" t="s">
        <v>19</v>
      </c>
    </row>
    <row r="164" spans="1:3" x14ac:dyDescent="0.3">
      <c r="C164" t="s">
        <v>18</v>
      </c>
    </row>
    <row r="166" spans="1:3" x14ac:dyDescent="0.3">
      <c r="A166" s="6" t="s">
        <v>417</v>
      </c>
      <c r="B166" s="1" t="s">
        <v>409</v>
      </c>
    </row>
    <row r="167" spans="1:3" x14ac:dyDescent="0.3">
      <c r="B167" s="6" t="s">
        <v>410</v>
      </c>
    </row>
    <row r="169" spans="1:3" x14ac:dyDescent="0.3">
      <c r="A169" s="6" t="s">
        <v>412</v>
      </c>
      <c r="C169" s="1" t="s">
        <v>413</v>
      </c>
    </row>
    <row r="170" spans="1:3" x14ac:dyDescent="0.3">
      <c r="C170" s="6" t="s">
        <v>411</v>
      </c>
    </row>
    <row r="172" spans="1:3" x14ac:dyDescent="0.3">
      <c r="A172" s="6" t="s">
        <v>416</v>
      </c>
      <c r="C172" s="1" t="s">
        <v>414</v>
      </c>
    </row>
    <row r="173" spans="1:3" x14ac:dyDescent="0.3">
      <c r="C173" s="6" t="s">
        <v>415</v>
      </c>
    </row>
    <row r="175" spans="1:3" x14ac:dyDescent="0.3">
      <c r="A175" s="6" t="s">
        <v>418</v>
      </c>
      <c r="B175" s="1" t="s">
        <v>420</v>
      </c>
    </row>
    <row r="176" spans="1:3" x14ac:dyDescent="0.3">
      <c r="B176" s="6" t="s">
        <v>422</v>
      </c>
    </row>
    <row r="178" spans="1:3" x14ac:dyDescent="0.3">
      <c r="A178" s="6" t="s">
        <v>419</v>
      </c>
      <c r="C178" s="1" t="s">
        <v>421</v>
      </c>
    </row>
    <row r="179" spans="1:3" x14ac:dyDescent="0.3">
      <c r="C179" s="6" t="s">
        <v>423</v>
      </c>
    </row>
    <row r="181" spans="1:3" x14ac:dyDescent="0.3">
      <c r="A181" s="6" t="s">
        <v>424</v>
      </c>
      <c r="B181" s="1" t="s">
        <v>426</v>
      </c>
    </row>
    <row r="182" spans="1:3" x14ac:dyDescent="0.3">
      <c r="B182" s="6" t="s">
        <v>427</v>
      </c>
    </row>
    <row r="184" spans="1:3" x14ac:dyDescent="0.3">
      <c r="A184" s="6" t="s">
        <v>425</v>
      </c>
      <c r="C184" s="1" t="s">
        <v>428</v>
      </c>
    </row>
    <row r="185" spans="1:3" x14ac:dyDescent="0.3">
      <c r="C185" s="6" t="s">
        <v>429</v>
      </c>
    </row>
    <row r="187" spans="1:3" x14ac:dyDescent="0.3">
      <c r="A187" s="6" t="s">
        <v>435</v>
      </c>
      <c r="B187" s="1" t="s">
        <v>430</v>
      </c>
    </row>
    <row r="188" spans="1:3" x14ac:dyDescent="0.3">
      <c r="B188" s="6" t="s">
        <v>432</v>
      </c>
    </row>
    <row r="190" spans="1:3" x14ac:dyDescent="0.3">
      <c r="A190" s="6" t="s">
        <v>436</v>
      </c>
      <c r="C190" s="1" t="s">
        <v>431</v>
      </c>
    </row>
    <row r="191" spans="1:3" x14ac:dyDescent="0.3">
      <c r="C191" s="6" t="s">
        <v>433</v>
      </c>
    </row>
    <row r="193" spans="1:6" x14ac:dyDescent="0.3">
      <c r="A193" s="6" t="s">
        <v>437</v>
      </c>
      <c r="C193" s="1" t="s">
        <v>438</v>
      </c>
    </row>
    <row r="194" spans="1:6" x14ac:dyDescent="0.3">
      <c r="C194" s="6" t="s">
        <v>434</v>
      </c>
    </row>
    <row r="195" spans="1:6" ht="45" customHeight="1" x14ac:dyDescent="0.3">
      <c r="F195" s="6" t="s">
        <v>408</v>
      </c>
    </row>
    <row r="196" spans="1:6" x14ac:dyDescent="0.3">
      <c r="A196" s="6" t="s">
        <v>403</v>
      </c>
      <c r="B196" s="1" t="s">
        <v>20</v>
      </c>
    </row>
    <row r="197" spans="1:6" x14ac:dyDescent="0.3">
      <c r="B197" s="46" t="s">
        <v>379</v>
      </c>
      <c r="C197" s="47"/>
    </row>
    <row r="202" spans="1:6" x14ac:dyDescent="0.3">
      <c r="A202" s="52" t="s">
        <v>505</v>
      </c>
      <c r="B202" s="52"/>
      <c r="C202" s="52"/>
    </row>
    <row r="204" spans="1:6" x14ac:dyDescent="0.3">
      <c r="A204" s="2" t="s">
        <v>469</v>
      </c>
      <c r="C204" s="1" t="s">
        <v>468</v>
      </c>
    </row>
    <row r="205" spans="1:6" x14ac:dyDescent="0.3">
      <c r="C205" t="s">
        <v>470</v>
      </c>
    </row>
    <row r="206" spans="1:6" x14ac:dyDescent="0.3">
      <c r="F206" s="6"/>
    </row>
    <row r="207" spans="1:6" x14ac:dyDescent="0.3">
      <c r="F207" s="6"/>
    </row>
    <row r="208" spans="1:6" x14ac:dyDescent="0.3">
      <c r="A208" s="2" t="s">
        <v>472</v>
      </c>
      <c r="C208" s="1" t="s">
        <v>471</v>
      </c>
      <c r="F208" s="6"/>
    </row>
    <row r="209" spans="1:6" x14ac:dyDescent="0.3">
      <c r="A209" s="4"/>
      <c r="C209" t="s">
        <v>473</v>
      </c>
      <c r="F209" s="6"/>
    </row>
    <row r="210" spans="1:6" x14ac:dyDescent="0.3">
      <c r="A210" s="4"/>
      <c r="F210" s="6"/>
    </row>
    <row r="211" spans="1:6" x14ac:dyDescent="0.3">
      <c r="A211" s="2" t="s">
        <v>475</v>
      </c>
      <c r="C211" s="1" t="s">
        <v>474</v>
      </c>
    </row>
    <row r="212" spans="1:6" x14ac:dyDescent="0.3">
      <c r="A212" s="4"/>
      <c r="C212" t="s">
        <v>506</v>
      </c>
    </row>
    <row r="213" spans="1:6" x14ac:dyDescent="0.3">
      <c r="F213" s="6"/>
    </row>
    <row r="214" spans="1:6" ht="30" customHeight="1" x14ac:dyDescent="0.3">
      <c r="A214" s="52" t="s">
        <v>90</v>
      </c>
      <c r="B214" s="52"/>
      <c r="C214" s="52"/>
    </row>
    <row r="215" spans="1:6" x14ac:dyDescent="0.3">
      <c r="B215" s="34"/>
      <c r="F215" s="6"/>
    </row>
    <row r="216" spans="1:6" x14ac:dyDescent="0.3">
      <c r="A216" s="6" t="s">
        <v>99</v>
      </c>
      <c r="B216" s="1" t="s">
        <v>29</v>
      </c>
      <c r="F216" s="6"/>
    </row>
    <row r="217" spans="1:6" ht="30.6" customHeight="1" x14ac:dyDescent="0.3">
      <c r="B217" s="46" t="s">
        <v>507</v>
      </c>
      <c r="C217" s="47"/>
      <c r="F217" s="6"/>
    </row>
    <row r="218" spans="1:6" x14ac:dyDescent="0.3">
      <c r="F218" s="6"/>
    </row>
    <row r="219" spans="1:6" x14ac:dyDescent="0.3">
      <c r="A219" s="6" t="s">
        <v>100</v>
      </c>
      <c r="B219" s="1" t="s">
        <v>59</v>
      </c>
    </row>
    <row r="220" spans="1:6" ht="30" customHeight="1" x14ac:dyDescent="0.3">
      <c r="A220" s="6"/>
      <c r="B220" s="46" t="s">
        <v>508</v>
      </c>
      <c r="C220" s="47"/>
    </row>
    <row r="221" spans="1:6" x14ac:dyDescent="0.3">
      <c r="A221" s="6"/>
    </row>
    <row r="222" spans="1:6" x14ac:dyDescent="0.3">
      <c r="A222" s="6" t="s">
        <v>101</v>
      </c>
      <c r="B222" s="1" t="s">
        <v>60</v>
      </c>
    </row>
    <row r="223" spans="1:6" x14ac:dyDescent="0.3">
      <c r="A223" s="6"/>
      <c r="B223" s="46" t="s">
        <v>69</v>
      </c>
      <c r="C223" s="47"/>
    </row>
    <row r="224" spans="1:6" x14ac:dyDescent="0.3">
      <c r="A224" s="6"/>
    </row>
    <row r="225" spans="1:3" x14ac:dyDescent="0.3">
      <c r="A225" t="s">
        <v>102</v>
      </c>
      <c r="C225" s="1" t="s">
        <v>31</v>
      </c>
    </row>
    <row r="226" spans="1:3" x14ac:dyDescent="0.3">
      <c r="A226" s="6"/>
      <c r="C226" t="s">
        <v>32</v>
      </c>
    </row>
    <row r="227" spans="1:3" x14ac:dyDescent="0.3">
      <c r="A227" s="6"/>
    </row>
    <row r="228" spans="1:3" x14ac:dyDescent="0.3">
      <c r="A228" s="6" t="s">
        <v>103</v>
      </c>
      <c r="B228" s="1" t="s">
        <v>33</v>
      </c>
    </row>
    <row r="229" spans="1:3" x14ac:dyDescent="0.3">
      <c r="A229" s="6"/>
      <c r="B229" s="46" t="s">
        <v>518</v>
      </c>
      <c r="C229" s="47"/>
    </row>
    <row r="230" spans="1:3" x14ac:dyDescent="0.3">
      <c r="A230" s="6"/>
    </row>
    <row r="231" spans="1:3" x14ac:dyDescent="0.3">
      <c r="A231" s="6" t="s">
        <v>104</v>
      </c>
      <c r="B231" s="1" t="s">
        <v>34</v>
      </c>
    </row>
    <row r="232" spans="1:3" x14ac:dyDescent="0.3">
      <c r="A232" s="6"/>
      <c r="B232" t="s">
        <v>441</v>
      </c>
    </row>
    <row r="233" spans="1:3" x14ac:dyDescent="0.3">
      <c r="A233" s="6"/>
    </row>
    <row r="234" spans="1:3" x14ac:dyDescent="0.3">
      <c r="A234" s="6" t="s">
        <v>105</v>
      </c>
      <c r="B234" s="1" t="s">
        <v>35</v>
      </c>
    </row>
    <row r="235" spans="1:3" x14ac:dyDescent="0.3">
      <c r="A235" s="6"/>
      <c r="B235" t="s">
        <v>509</v>
      </c>
    </row>
    <row r="236" spans="1:3" x14ac:dyDescent="0.3">
      <c r="A236" s="6"/>
    </row>
    <row r="237" spans="1:3" x14ac:dyDescent="0.3">
      <c r="A237" s="6" t="s">
        <v>106</v>
      </c>
      <c r="B237" s="1" t="s">
        <v>36</v>
      </c>
    </row>
    <row r="238" spans="1:3" x14ac:dyDescent="0.3">
      <c r="A238" s="6"/>
      <c r="B238" t="s">
        <v>37</v>
      </c>
    </row>
    <row r="239" spans="1:3" x14ac:dyDescent="0.3">
      <c r="A239" s="6"/>
    </row>
    <row r="240" spans="1:3" x14ac:dyDescent="0.3">
      <c r="A240" t="s">
        <v>107</v>
      </c>
      <c r="C240" s="1" t="s">
        <v>30</v>
      </c>
    </row>
    <row r="241" spans="1:3" x14ac:dyDescent="0.3">
      <c r="A241" s="6"/>
      <c r="C241" t="s">
        <v>487</v>
      </c>
    </row>
    <row r="242" spans="1:3" x14ac:dyDescent="0.3">
      <c r="A242" s="6"/>
    </row>
    <row r="243" spans="1:3" x14ac:dyDescent="0.3">
      <c r="A243" s="6" t="s">
        <v>108</v>
      </c>
      <c r="B243" s="1" t="s">
        <v>38</v>
      </c>
    </row>
    <row r="244" spans="1:3" ht="30" customHeight="1" x14ac:dyDescent="0.3">
      <c r="A244" s="6"/>
      <c r="B244" s="46" t="s">
        <v>70</v>
      </c>
      <c r="C244" s="47"/>
    </row>
    <row r="245" spans="1:3" x14ac:dyDescent="0.3">
      <c r="A245" s="6"/>
    </row>
    <row r="246" spans="1:3" x14ac:dyDescent="0.3">
      <c r="A246" s="6" t="s">
        <v>109</v>
      </c>
      <c r="B246" s="1" t="s">
        <v>522</v>
      </c>
    </row>
    <row r="247" spans="1:3" ht="24.75" customHeight="1" x14ac:dyDescent="0.3">
      <c r="A247" s="6"/>
      <c r="B247" s="46"/>
      <c r="C247" s="47"/>
    </row>
    <row r="248" spans="1:3" x14ac:dyDescent="0.3">
      <c r="A248" s="6"/>
    </row>
    <row r="249" spans="1:3" x14ac:dyDescent="0.3">
      <c r="A249" s="6" t="s">
        <v>110</v>
      </c>
      <c r="B249" s="1" t="s">
        <v>39</v>
      </c>
    </row>
    <row r="250" spans="1:3" x14ac:dyDescent="0.3">
      <c r="A250" s="6"/>
      <c r="B250" s="46" t="s">
        <v>510</v>
      </c>
      <c r="C250" s="47"/>
    </row>
    <row r="251" spans="1:3" x14ac:dyDescent="0.3">
      <c r="A251" s="6"/>
    </row>
    <row r="252" spans="1:3" x14ac:dyDescent="0.3">
      <c r="A252" t="s">
        <v>111</v>
      </c>
      <c r="C252" s="1" t="s">
        <v>30</v>
      </c>
    </row>
    <row r="253" spans="1:3" ht="30" customHeight="1" x14ac:dyDescent="0.3">
      <c r="A253" s="6"/>
      <c r="C253" s="15" t="s">
        <v>460</v>
      </c>
    </row>
    <row r="254" spans="1:3" x14ac:dyDescent="0.3">
      <c r="A254" s="6"/>
    </row>
    <row r="255" spans="1:3" x14ac:dyDescent="0.3">
      <c r="A255" s="6" t="s">
        <v>112</v>
      </c>
      <c r="B255" s="1" t="s">
        <v>467</v>
      </c>
    </row>
    <row r="256" spans="1:3" ht="30" customHeight="1" x14ac:dyDescent="0.3">
      <c r="A256" s="6"/>
      <c r="B256" s="46"/>
      <c r="C256" s="47"/>
    </row>
    <row r="257" spans="1:3" x14ac:dyDescent="0.3">
      <c r="A257" s="6"/>
    </row>
    <row r="258" spans="1:3" x14ac:dyDescent="0.3">
      <c r="A258" s="6" t="s">
        <v>113</v>
      </c>
      <c r="B258" s="1" t="s">
        <v>442</v>
      </c>
    </row>
    <row r="259" spans="1:3" ht="29.4" customHeight="1" x14ac:dyDescent="0.3">
      <c r="A259" s="6"/>
      <c r="B259" s="46" t="s">
        <v>71</v>
      </c>
      <c r="C259" s="47"/>
    </row>
    <row r="260" spans="1:3" x14ac:dyDescent="0.3">
      <c r="A260" s="6"/>
    </row>
    <row r="261" spans="1:3" x14ac:dyDescent="0.3">
      <c r="A261" s="6" t="s">
        <v>114</v>
      </c>
      <c r="B261" s="1" t="s">
        <v>40</v>
      </c>
    </row>
    <row r="262" spans="1:3" ht="30" customHeight="1" x14ac:dyDescent="0.3">
      <c r="A262" s="6"/>
      <c r="B262" s="46" t="s">
        <v>443</v>
      </c>
      <c r="C262" s="46"/>
    </row>
    <row r="263" spans="1:3" x14ac:dyDescent="0.3">
      <c r="A263" s="6"/>
    </row>
    <row r="264" spans="1:3" x14ac:dyDescent="0.3">
      <c r="A264" s="6" t="s">
        <v>115</v>
      </c>
      <c r="B264" s="1" t="s">
        <v>41</v>
      </c>
    </row>
    <row r="265" spans="1:3" x14ac:dyDescent="0.3">
      <c r="A265" s="6"/>
      <c r="B265" s="46" t="s">
        <v>72</v>
      </c>
      <c r="C265" s="46"/>
    </row>
    <row r="266" spans="1:3" x14ac:dyDescent="0.3">
      <c r="A266" s="6"/>
    </row>
    <row r="267" spans="1:3" x14ac:dyDescent="0.3">
      <c r="A267" s="6" t="s">
        <v>116</v>
      </c>
      <c r="B267" s="1" t="s">
        <v>42</v>
      </c>
    </row>
    <row r="268" spans="1:3" x14ac:dyDescent="0.3">
      <c r="A268" s="6"/>
      <c r="B268" t="s">
        <v>43</v>
      </c>
    </row>
    <row r="269" spans="1:3" x14ac:dyDescent="0.3">
      <c r="A269" s="6"/>
    </row>
    <row r="270" spans="1:3" x14ac:dyDescent="0.3">
      <c r="A270" s="6" t="s">
        <v>117</v>
      </c>
      <c r="B270" s="1" t="s">
        <v>44</v>
      </c>
    </row>
    <row r="271" spans="1:3" x14ac:dyDescent="0.3">
      <c r="A271" s="6"/>
      <c r="B271" t="s">
        <v>45</v>
      </c>
    </row>
    <row r="272" spans="1:3" x14ac:dyDescent="0.3">
      <c r="A272" s="6"/>
    </row>
    <row r="273" spans="1:3" x14ac:dyDescent="0.3">
      <c r="A273" t="s">
        <v>118</v>
      </c>
      <c r="C273" s="1" t="s">
        <v>31</v>
      </c>
    </row>
    <row r="274" spans="1:3" x14ac:dyDescent="0.3">
      <c r="A274" s="6"/>
      <c r="C274" t="s">
        <v>46</v>
      </c>
    </row>
    <row r="275" spans="1:3" x14ac:dyDescent="0.3">
      <c r="A275" s="6"/>
    </row>
    <row r="276" spans="1:3" x14ac:dyDescent="0.3">
      <c r="A276" s="6" t="s">
        <v>119</v>
      </c>
      <c r="B276" s="1" t="s">
        <v>47</v>
      </c>
    </row>
    <row r="277" spans="1:3" ht="30" customHeight="1" x14ac:dyDescent="0.3">
      <c r="A277" s="6"/>
      <c r="B277" t="s">
        <v>48</v>
      </c>
    </row>
    <row r="278" spans="1:3" x14ac:dyDescent="0.3">
      <c r="A278" s="6"/>
    </row>
    <row r="279" spans="1:3" x14ac:dyDescent="0.3">
      <c r="A279" s="6" t="s">
        <v>120</v>
      </c>
      <c r="B279" s="1" t="s">
        <v>458</v>
      </c>
    </row>
    <row r="280" spans="1:3" ht="45" customHeight="1" x14ac:dyDescent="0.3">
      <c r="A280" s="6"/>
      <c r="B280" s="49" t="str">
        <f>"So, the "&amp;G5&amp;" works with a network of approved companies that specialize in bathroom remodels. This actually allows us to customize our services to you and connect you with the most suitable company that meets your personal requirements."</f>
        <v>So, the Superior Home works with a network of approved companies that specialize in bathroom remodels. This actually allows us to customize our services to you and connect you with the most suitable company that meets your personal requirements.</v>
      </c>
      <c r="C280" s="53"/>
    </row>
    <row r="281" spans="1:3" x14ac:dyDescent="0.3">
      <c r="A281" s="6"/>
    </row>
    <row r="282" spans="1:3" x14ac:dyDescent="0.3">
      <c r="A282" s="6" t="s">
        <v>121</v>
      </c>
      <c r="B282" s="1" t="s">
        <v>49</v>
      </c>
    </row>
    <row r="283" spans="1:3" ht="42.9" customHeight="1" x14ac:dyDescent="0.3">
      <c r="A283" s="6"/>
      <c r="B283" s="49" t="str">
        <f>"Well, the reason the number is sometimes different, is because we do use a few different phone numbers through different carriers and that just helps our efficiency, but rest assured, the number you see IS owned by the "&amp;G5&amp;", and if you were to dial that, that would go directly to our customer service, okay?"</f>
        <v>Well, the reason the number is sometimes different, is because we do use a few different phone numbers through different carriers and that just helps our efficiency, but rest assured, the number you see IS owned by the Superior Home, and if you were to dial that, that would go directly to our customer service, okay?</v>
      </c>
      <c r="C283" s="49"/>
    </row>
    <row r="284" spans="1:3" ht="14.4" customHeight="1" x14ac:dyDescent="0.3">
      <c r="A284" s="6"/>
    </row>
    <row r="285" spans="1:3" x14ac:dyDescent="0.3">
      <c r="A285" t="s">
        <v>122</v>
      </c>
      <c r="C285" s="1" t="s">
        <v>30</v>
      </c>
    </row>
    <row r="286" spans="1:3" ht="28.8" x14ac:dyDescent="0.3">
      <c r="A286" s="6"/>
      <c r="C286" s="35" t="str">
        <f>"Y’know that's really a technical thing, so I don’t really know the answer to it myself, but as I mentioned, if you did call it back – it does comes to us here at "&amp;G6&amp;", and that is a federal requirement, okay?"</f>
        <v>Y’know that's really a technical thing, so I don’t really know the answer to it myself, but as I mentioned, if you did call it back – it does comes to us here at CanadaDirect, and that is a federal requirement, okay?</v>
      </c>
    </row>
    <row r="287" spans="1:3" x14ac:dyDescent="0.3">
      <c r="A287" s="6"/>
    </row>
    <row r="288" spans="1:3" x14ac:dyDescent="0.3">
      <c r="A288" s="6" t="s">
        <v>124</v>
      </c>
      <c r="B288" s="1" t="s">
        <v>50</v>
      </c>
    </row>
    <row r="289" spans="1:6" x14ac:dyDescent="0.3">
      <c r="A289" s="6"/>
      <c r="B289" s="23" t="str">
        <f>"My name is "&amp;G4&amp;"."</f>
        <v>My name is Brian Lee.</v>
      </c>
      <c r="F289" s="9"/>
    </row>
    <row r="290" spans="1:6" x14ac:dyDescent="0.3">
      <c r="A290" s="6"/>
    </row>
    <row r="291" spans="1:6" x14ac:dyDescent="0.3">
      <c r="A291" t="s">
        <v>123</v>
      </c>
      <c r="C291" s="1" t="s">
        <v>30</v>
      </c>
    </row>
    <row r="292" spans="1:6" x14ac:dyDescent="0.3">
      <c r="A292" s="6"/>
      <c r="C292" s="36" t="s">
        <v>593</v>
      </c>
    </row>
    <row r="293" spans="1:6" x14ac:dyDescent="0.3">
      <c r="A293" s="6"/>
    </row>
    <row r="294" spans="1:6" x14ac:dyDescent="0.3">
      <c r="A294" s="6" t="s">
        <v>125</v>
      </c>
      <c r="B294" s="1" t="s">
        <v>52</v>
      </c>
    </row>
    <row r="295" spans="1:6" x14ac:dyDescent="0.3">
      <c r="A295" s="6"/>
      <c r="B295" s="23" t="str">
        <f>"It’s called "&amp;G5&amp;"."</f>
        <v>It’s called Superior Home.</v>
      </c>
    </row>
    <row r="296" spans="1:6" x14ac:dyDescent="0.3">
      <c r="A296" s="6"/>
    </row>
    <row r="297" spans="1:6" x14ac:dyDescent="0.3">
      <c r="A297" s="6" t="s">
        <v>126</v>
      </c>
      <c r="B297" s="1" t="s">
        <v>53</v>
      </c>
    </row>
    <row r="298" spans="1:6" ht="30" customHeight="1" x14ac:dyDescent="0.3">
      <c r="A298" s="6"/>
      <c r="B298" s="46" t="s">
        <v>444</v>
      </c>
      <c r="C298" s="47"/>
    </row>
    <row r="299" spans="1:6" x14ac:dyDescent="0.3">
      <c r="A299" s="6"/>
    </row>
    <row r="300" spans="1:6" x14ac:dyDescent="0.3">
      <c r="A300" s="6" t="s">
        <v>127</v>
      </c>
      <c r="B300" s="1" t="s">
        <v>54</v>
      </c>
    </row>
    <row r="301" spans="1:6" x14ac:dyDescent="0.3">
      <c r="A301" s="6"/>
      <c r="B301" s="46" t="s">
        <v>580</v>
      </c>
      <c r="C301" s="47"/>
    </row>
    <row r="302" spans="1:6" x14ac:dyDescent="0.3">
      <c r="A302" s="6"/>
    </row>
    <row r="303" spans="1:6" x14ac:dyDescent="0.3">
      <c r="A303" s="6" t="s">
        <v>128</v>
      </c>
      <c r="B303" s="1" t="s">
        <v>55</v>
      </c>
    </row>
    <row r="304" spans="1:6" x14ac:dyDescent="0.3">
      <c r="A304" s="6"/>
      <c r="B304" t="s">
        <v>73</v>
      </c>
    </row>
    <row r="305" spans="1:3" x14ac:dyDescent="0.3">
      <c r="A305" s="6"/>
    </row>
    <row r="306" spans="1:3" x14ac:dyDescent="0.3">
      <c r="A306" s="6" t="s">
        <v>129</v>
      </c>
      <c r="B306" s="1" t="s">
        <v>56</v>
      </c>
    </row>
    <row r="307" spans="1:3" x14ac:dyDescent="0.3">
      <c r="A307" s="6"/>
      <c r="B307" s="23" t="str">
        <f>G6&amp;" is contracted to make calls on behalf of the "&amp;G5&amp;"."</f>
        <v>CanadaDirect is contracted to make calls on behalf of the Superior Home.</v>
      </c>
    </row>
    <row r="308" spans="1:3" x14ac:dyDescent="0.3">
      <c r="A308" s="6"/>
    </row>
    <row r="309" spans="1:3" x14ac:dyDescent="0.3">
      <c r="A309" t="s">
        <v>130</v>
      </c>
      <c r="C309" s="1" t="s">
        <v>30</v>
      </c>
    </row>
    <row r="310" spans="1:3" ht="28.8" x14ac:dyDescent="0.3">
      <c r="A310"/>
      <c r="C310" s="37" t="str">
        <f>"So, "&amp;G6&amp;" is a company specializing in marketing communications. We're calling you today to follow up on an online 
request for more information about a bathroom remodel."</f>
        <v>So, CanadaDirect is a company specializing in marketing communications. We're calling you today to follow up on an online 
request for more information about a bathroom remodel.</v>
      </c>
    </row>
    <row r="311" spans="1:3" x14ac:dyDescent="0.3">
      <c r="A311"/>
    </row>
    <row r="312" spans="1:3" x14ac:dyDescent="0.3">
      <c r="A312" t="s">
        <v>131</v>
      </c>
      <c r="C312" s="1" t="s">
        <v>51</v>
      </c>
    </row>
    <row r="313" spans="1:3" x14ac:dyDescent="0.3">
      <c r="A313" s="6"/>
      <c r="C313" s="38" t="s">
        <v>600</v>
      </c>
    </row>
    <row r="314" spans="1:3" x14ac:dyDescent="0.3">
      <c r="A314" s="6"/>
    </row>
    <row r="315" spans="1:3" x14ac:dyDescent="0.3">
      <c r="A315" s="6" t="s">
        <v>132</v>
      </c>
      <c r="B315" s="1" t="s">
        <v>57</v>
      </c>
    </row>
    <row r="316" spans="1:3" x14ac:dyDescent="0.3">
      <c r="A316" s="6"/>
      <c r="B316" s="49" t="str">
        <f>"And again this is "&amp;G4&amp;" and I'm calling on behalf of "&amp;G5&amp;" in regards to an online request for information about remodeling a bathroom."</f>
        <v>And again this is Brian Lee and I'm calling on behalf of Superior Home in regards to an online request for information about remodeling a bathroom.</v>
      </c>
      <c r="C316" s="49"/>
    </row>
    <row r="317" spans="1:3" x14ac:dyDescent="0.3">
      <c r="A317" s="6"/>
    </row>
    <row r="318" spans="1:3" x14ac:dyDescent="0.3">
      <c r="A318" t="s">
        <v>133</v>
      </c>
      <c r="C318" s="1" t="s">
        <v>30</v>
      </c>
    </row>
    <row r="319" spans="1:3" x14ac:dyDescent="0.3">
      <c r="A319" s="6"/>
      <c r="B319" t="s">
        <v>10</v>
      </c>
      <c r="C319" s="23" t="str">
        <f>"We’re calling from a company called "&amp;G6&amp;" on behalf of the "&amp;G5&amp;"."</f>
        <v>We’re calling from a company called CanadaDirect on behalf of the Superior Home.</v>
      </c>
    </row>
    <row r="320" spans="1:3" x14ac:dyDescent="0.3">
      <c r="A320" s="6"/>
    </row>
    <row r="321" spans="1:3" x14ac:dyDescent="0.3">
      <c r="A321" s="6" t="s">
        <v>134</v>
      </c>
      <c r="B321" s="1" t="s">
        <v>58</v>
      </c>
    </row>
    <row r="322" spans="1:3" x14ac:dyDescent="0.3">
      <c r="A322" s="6"/>
      <c r="B322" s="46" t="s">
        <v>519</v>
      </c>
      <c r="C322" s="47"/>
    </row>
    <row r="323" spans="1:3" x14ac:dyDescent="0.3">
      <c r="A323" s="6"/>
    </row>
    <row r="324" spans="1:3" x14ac:dyDescent="0.3">
      <c r="A324" s="6" t="s">
        <v>135</v>
      </c>
      <c r="B324" s="1" t="s">
        <v>149</v>
      </c>
    </row>
    <row r="325" spans="1:3" x14ac:dyDescent="0.3">
      <c r="A325" s="6"/>
      <c r="B325" s="23" t="str">
        <f>"The customer service number for the "&amp;G5&amp;" is: "&amp;LEFT(G9,3)&amp;"-"&amp;MID(G9,4,3)&amp;"-"&amp;RIGHT(G9,4)</f>
        <v>The customer service number for the Superior Home is: --</v>
      </c>
    </row>
    <row r="326" spans="1:3" x14ac:dyDescent="0.3">
      <c r="A326" s="6"/>
    </row>
    <row r="327" spans="1:3" x14ac:dyDescent="0.3">
      <c r="A327" s="6" t="s">
        <v>136</v>
      </c>
      <c r="B327" s="1" t="s">
        <v>148</v>
      </c>
    </row>
    <row r="328" spans="1:3" x14ac:dyDescent="0.3">
      <c r="A328" s="6"/>
      <c r="B328" s="23" t="str">
        <f>"The website is: "&amp;G11</f>
        <v>The website is: superiorhomeproject.com</v>
      </c>
    </row>
    <row r="329" spans="1:3" x14ac:dyDescent="0.3">
      <c r="A329" s="6"/>
      <c r="B329" s="23"/>
    </row>
    <row r="330" spans="1:3" x14ac:dyDescent="0.3">
      <c r="A330" s="6" t="s">
        <v>151</v>
      </c>
      <c r="B330" s="1" t="s">
        <v>150</v>
      </c>
    </row>
    <row r="331" spans="1:3" x14ac:dyDescent="0.3">
      <c r="A331" s="6"/>
      <c r="B331" t="s">
        <v>523</v>
      </c>
    </row>
    <row r="332" spans="1:3" x14ac:dyDescent="0.3">
      <c r="A332" s="6"/>
    </row>
    <row r="333" spans="1:3" x14ac:dyDescent="0.3">
      <c r="A333" s="6" t="s">
        <v>137</v>
      </c>
      <c r="B333" s="1" t="s">
        <v>152</v>
      </c>
    </row>
    <row r="334" spans="1:3" x14ac:dyDescent="0.3">
      <c r="A334" s="6"/>
      <c r="B334" s="23" t="str">
        <f>"I’m calling from "&amp;G6&amp;" on behalf of the "&amp;G5&amp;" at, "&amp;LEFT(G9,3)&amp;"-"&amp;MID(G9,4,3)&amp;"-"&amp;RIGHT(G9,4)</f>
        <v>I’m calling from CanadaDirect on behalf of the Superior Home at, --</v>
      </c>
    </row>
    <row r="335" spans="1:3" x14ac:dyDescent="0.3">
      <c r="A335" s="6"/>
    </row>
    <row r="336" spans="1:3" x14ac:dyDescent="0.3">
      <c r="A336" s="6" t="s">
        <v>138</v>
      </c>
      <c r="B336" s="1" t="s">
        <v>445</v>
      </c>
    </row>
    <row r="337" spans="1:3" ht="52.5" customHeight="1" x14ac:dyDescent="0.3">
      <c r="A337" s="6"/>
      <c r="B337" s="46" t="s">
        <v>512</v>
      </c>
      <c r="C337" s="47"/>
    </row>
    <row r="338" spans="1:3" x14ac:dyDescent="0.3">
      <c r="A338" s="6"/>
    </row>
    <row r="339" spans="1:3" x14ac:dyDescent="0.3">
      <c r="A339" s="6" t="s">
        <v>139</v>
      </c>
      <c r="B339" s="1" t="s">
        <v>61</v>
      </c>
    </row>
    <row r="340" spans="1:3" ht="45.6" customHeight="1" x14ac:dyDescent="0.3">
      <c r="A340" s="6"/>
      <c r="B340" s="46" t="s">
        <v>446</v>
      </c>
      <c r="C340" s="47"/>
    </row>
    <row r="341" spans="1:3" x14ac:dyDescent="0.3">
      <c r="A341" s="6"/>
    </row>
    <row r="342" spans="1:3" x14ac:dyDescent="0.3">
      <c r="A342" s="6" t="s">
        <v>140</v>
      </c>
      <c r="B342" s="1" t="s">
        <v>62</v>
      </c>
    </row>
    <row r="343" spans="1:3" ht="30" customHeight="1" x14ac:dyDescent="0.3">
      <c r="A343" s="6"/>
      <c r="B343" s="46" t="s">
        <v>520</v>
      </c>
      <c r="C343" s="47"/>
    </row>
    <row r="344" spans="1:3" x14ac:dyDescent="0.3">
      <c r="A344" s="6"/>
    </row>
    <row r="345" spans="1:3" x14ac:dyDescent="0.3">
      <c r="A345" s="6" t="s">
        <v>141</v>
      </c>
      <c r="B345" s="1" t="s">
        <v>63</v>
      </c>
    </row>
    <row r="346" spans="1:3" ht="30" customHeight="1" x14ac:dyDescent="0.3">
      <c r="A346" s="6"/>
      <c r="B346" s="46" t="s">
        <v>513</v>
      </c>
      <c r="C346" s="47"/>
    </row>
    <row r="347" spans="1:3" x14ac:dyDescent="0.3">
      <c r="A347" s="6"/>
    </row>
    <row r="348" spans="1:3" x14ac:dyDescent="0.3">
      <c r="A348" t="s">
        <v>142</v>
      </c>
      <c r="C348" s="1" t="s">
        <v>64</v>
      </c>
    </row>
    <row r="349" spans="1:3" ht="30" customHeight="1" x14ac:dyDescent="0.3">
      <c r="A349"/>
      <c r="C349" s="15" t="s">
        <v>521</v>
      </c>
    </row>
    <row r="350" spans="1:3" x14ac:dyDescent="0.3">
      <c r="A350"/>
    </row>
    <row r="351" spans="1:3" x14ac:dyDescent="0.3">
      <c r="A351" t="s">
        <v>143</v>
      </c>
      <c r="C351" s="1" t="s">
        <v>65</v>
      </c>
    </row>
    <row r="352" spans="1:3" ht="28.8" x14ac:dyDescent="0.3">
      <c r="A352"/>
      <c r="C352" s="22" t="s">
        <v>74</v>
      </c>
    </row>
    <row r="353" spans="1:3" x14ac:dyDescent="0.3">
      <c r="A353"/>
    </row>
    <row r="354" spans="1:3" x14ac:dyDescent="0.3">
      <c r="A354" t="s">
        <v>144</v>
      </c>
      <c r="C354" s="1" t="s">
        <v>66</v>
      </c>
    </row>
    <row r="355" spans="1:3" ht="30" customHeight="1" x14ac:dyDescent="0.3">
      <c r="A355"/>
      <c r="C355" t="s">
        <v>67</v>
      </c>
    </row>
    <row r="356" spans="1:3" x14ac:dyDescent="0.3">
      <c r="A356"/>
    </row>
    <row r="357" spans="1:3" x14ac:dyDescent="0.3">
      <c r="A357" t="s">
        <v>145</v>
      </c>
      <c r="C357" s="1" t="s">
        <v>68</v>
      </c>
    </row>
    <row r="358" spans="1:3" ht="28.8" x14ac:dyDescent="0.3">
      <c r="A358" s="6"/>
      <c r="C358" s="15" t="s">
        <v>75</v>
      </c>
    </row>
    <row r="359" spans="1:3" x14ac:dyDescent="0.3">
      <c r="A359" s="6"/>
    </row>
    <row r="360" spans="1:3" x14ac:dyDescent="0.3">
      <c r="A360" s="6" t="s">
        <v>452</v>
      </c>
      <c r="B360" s="1" t="s">
        <v>455</v>
      </c>
    </row>
    <row r="361" spans="1:3" x14ac:dyDescent="0.3">
      <c r="A361" s="6"/>
      <c r="B361" s="46" t="s">
        <v>454</v>
      </c>
      <c r="C361" s="47"/>
    </row>
    <row r="362" spans="1:3" x14ac:dyDescent="0.3">
      <c r="A362" s="6"/>
    </row>
    <row r="363" spans="1:3" x14ac:dyDescent="0.3">
      <c r="A363" s="6" t="s">
        <v>453</v>
      </c>
      <c r="B363" s="1" t="s">
        <v>456</v>
      </c>
    </row>
    <row r="364" spans="1:3" x14ac:dyDescent="0.3">
      <c r="A364" s="6"/>
      <c r="B364" s="46" t="s">
        <v>21</v>
      </c>
      <c r="C364" s="47"/>
    </row>
    <row r="365" spans="1:3" x14ac:dyDescent="0.3">
      <c r="A365" s="6"/>
    </row>
  </sheetData>
  <mergeCells count="73">
    <mergeCell ref="E74:F74"/>
    <mergeCell ref="A129:C129"/>
    <mergeCell ref="B61:C61"/>
    <mergeCell ref="B361:C361"/>
    <mergeCell ref="B364:C364"/>
    <mergeCell ref="B98:C98"/>
    <mergeCell ref="B62:C62"/>
    <mergeCell ref="B63:C63"/>
    <mergeCell ref="B121:C121"/>
    <mergeCell ref="B80:C80"/>
    <mergeCell ref="B143:C143"/>
    <mergeCell ref="B132:C132"/>
    <mergeCell ref="B343:C343"/>
    <mergeCell ref="B346:C346"/>
    <mergeCell ref="B65:C65"/>
    <mergeCell ref="B66:C66"/>
    <mergeCell ref="B68:C68"/>
    <mergeCell ref="B70:C70"/>
    <mergeCell ref="B73:C73"/>
    <mergeCell ref="B71:C71"/>
    <mergeCell ref="B77:C77"/>
    <mergeCell ref="B69:C69"/>
    <mergeCell ref="A2:C2"/>
    <mergeCell ref="A4:C4"/>
    <mergeCell ref="A24:C24"/>
    <mergeCell ref="A47:C47"/>
    <mergeCell ref="A58:C58"/>
    <mergeCell ref="B50:C50"/>
    <mergeCell ref="A202:C202"/>
    <mergeCell ref="B83:C83"/>
    <mergeCell ref="B104:C104"/>
    <mergeCell ref="B137:C137"/>
    <mergeCell ref="B138:C138"/>
    <mergeCell ref="B158:C158"/>
    <mergeCell ref="B149:C149"/>
    <mergeCell ref="A140:C140"/>
    <mergeCell ref="A118:C118"/>
    <mergeCell ref="B116:C116"/>
    <mergeCell ref="B197:C197"/>
    <mergeCell ref="B124:C124"/>
    <mergeCell ref="B134:C134"/>
    <mergeCell ref="B135:C135"/>
    <mergeCell ref="B101:C101"/>
    <mergeCell ref="B110:C110"/>
    <mergeCell ref="B322:C322"/>
    <mergeCell ref="B337:C337"/>
    <mergeCell ref="B340:C340"/>
    <mergeCell ref="B265:C265"/>
    <mergeCell ref="B280:C280"/>
    <mergeCell ref="B283:C283"/>
    <mergeCell ref="B298:C298"/>
    <mergeCell ref="B301:C301"/>
    <mergeCell ref="E77:L77"/>
    <mergeCell ref="B316:C316"/>
    <mergeCell ref="B74:C74"/>
    <mergeCell ref="B256:C256"/>
    <mergeCell ref="B259:C259"/>
    <mergeCell ref="B262:C262"/>
    <mergeCell ref="B223:C223"/>
    <mergeCell ref="B229:C229"/>
    <mergeCell ref="B244:C244"/>
    <mergeCell ref="B247:C247"/>
    <mergeCell ref="B250:C250"/>
    <mergeCell ref="B217:C217"/>
    <mergeCell ref="B220:C220"/>
    <mergeCell ref="B148:C148"/>
    <mergeCell ref="B146:C146"/>
    <mergeCell ref="A214:C214"/>
    <mergeCell ref="B113:C113"/>
    <mergeCell ref="B107:C107"/>
    <mergeCell ref="B111:C111"/>
    <mergeCell ref="E95:L95"/>
    <mergeCell ref="E98:L98"/>
  </mergeCells>
  <hyperlinks>
    <hyperlink ref="G10" r:id="rId1" xr:uid="{8488D403-257E-4FB7-99F3-1219318A49A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B0F8-C7FE-4635-88EA-DBF22E4291E5}">
  <dimension ref="A1:B132"/>
  <sheetViews>
    <sheetView showGridLines="0" workbookViewId="0">
      <selection activeCell="B108" sqref="B1:B1048576"/>
    </sheetView>
  </sheetViews>
  <sheetFormatPr defaultRowHeight="14.4" x14ac:dyDescent="0.3"/>
  <cols>
    <col min="1" max="1" width="22.88671875" bestFit="1" customWidth="1"/>
    <col min="2" max="2" width="255.6640625" bestFit="1" customWidth="1"/>
  </cols>
  <sheetData>
    <row r="1" spans="1:2" x14ac:dyDescent="0.3">
      <c r="A1" s="12" t="s">
        <v>157</v>
      </c>
      <c r="B1" t="s">
        <v>158</v>
      </c>
    </row>
    <row r="2" spans="1:2" x14ac:dyDescent="0.3">
      <c r="A2" s="12" t="s">
        <v>159</v>
      </c>
      <c r="B2" t="s">
        <v>160</v>
      </c>
    </row>
    <row r="3" spans="1:2" x14ac:dyDescent="0.3">
      <c r="A3" s="12" t="s">
        <v>161</v>
      </c>
      <c r="B3" t="s">
        <v>162</v>
      </c>
    </row>
    <row r="4" spans="1:2" x14ac:dyDescent="0.3">
      <c r="A4" s="12" t="s">
        <v>163</v>
      </c>
      <c r="B4" t="s">
        <v>164</v>
      </c>
    </row>
    <row r="5" spans="1:2" x14ac:dyDescent="0.3">
      <c r="A5" s="12" t="s">
        <v>165</v>
      </c>
      <c r="B5" t="s">
        <v>166</v>
      </c>
    </row>
    <row r="6" spans="1:2" x14ac:dyDescent="0.3">
      <c r="A6" s="12" t="s">
        <v>167</v>
      </c>
      <c r="B6" t="s">
        <v>168</v>
      </c>
    </row>
    <row r="7" spans="1:2" x14ac:dyDescent="0.3">
      <c r="A7" s="12" t="s">
        <v>169</v>
      </c>
      <c r="B7" t="s">
        <v>170</v>
      </c>
    </row>
    <row r="8" spans="1:2" x14ac:dyDescent="0.3">
      <c r="A8" s="12" t="s">
        <v>171</v>
      </c>
      <c r="B8" t="s">
        <v>172</v>
      </c>
    </row>
    <row r="9" spans="1:2" x14ac:dyDescent="0.3">
      <c r="A9" s="12" t="s">
        <v>173</v>
      </c>
      <c r="B9" t="s">
        <v>174</v>
      </c>
    </row>
    <row r="10" spans="1:2" x14ac:dyDescent="0.3">
      <c r="A10" s="11" t="s">
        <v>175</v>
      </c>
      <c r="B10" t="s">
        <v>535</v>
      </c>
    </row>
    <row r="11" spans="1:2" x14ac:dyDescent="0.3">
      <c r="A11" s="11" t="s">
        <v>176</v>
      </c>
      <c r="B11" t="s">
        <v>536</v>
      </c>
    </row>
    <row r="12" spans="1:2" x14ac:dyDescent="0.3">
      <c r="A12" s="12" t="s">
        <v>177</v>
      </c>
      <c r="B12" t="s">
        <v>178</v>
      </c>
    </row>
    <row r="13" spans="1:2" x14ac:dyDescent="0.3">
      <c r="A13" s="12" t="s">
        <v>179</v>
      </c>
      <c r="B13" t="s">
        <v>180</v>
      </c>
    </row>
    <row r="14" spans="1:2" x14ac:dyDescent="0.3">
      <c r="A14" s="12" t="s">
        <v>181</v>
      </c>
      <c r="B14" t="s">
        <v>182</v>
      </c>
    </row>
    <row r="15" spans="1:2" x14ac:dyDescent="0.3">
      <c r="A15" s="12" t="s">
        <v>183</v>
      </c>
      <c r="B15" t="s">
        <v>184</v>
      </c>
    </row>
    <row r="16" spans="1:2" x14ac:dyDescent="0.3">
      <c r="A16" s="12" t="s">
        <v>185</v>
      </c>
      <c r="B16" t="s">
        <v>537</v>
      </c>
    </row>
    <row r="17" spans="1:2" x14ac:dyDescent="0.3">
      <c r="A17" s="12" t="s">
        <v>186</v>
      </c>
      <c r="B17" t="s">
        <v>538</v>
      </c>
    </row>
    <row r="18" spans="1:2" x14ac:dyDescent="0.3">
      <c r="A18" s="12" t="s">
        <v>187</v>
      </c>
      <c r="B18" t="s">
        <v>539</v>
      </c>
    </row>
    <row r="19" spans="1:2" x14ac:dyDescent="0.3">
      <c r="A19" s="12" t="s">
        <v>188</v>
      </c>
      <c r="B19" t="s">
        <v>189</v>
      </c>
    </row>
    <row r="20" spans="1:2" x14ac:dyDescent="0.3">
      <c r="A20" s="12" t="s">
        <v>190</v>
      </c>
      <c r="B20" t="s">
        <v>191</v>
      </c>
    </row>
    <row r="21" spans="1:2" x14ac:dyDescent="0.3">
      <c r="A21" s="12" t="s">
        <v>192</v>
      </c>
      <c r="B21" t="s">
        <v>193</v>
      </c>
    </row>
    <row r="22" spans="1:2" x14ac:dyDescent="0.3">
      <c r="A22" s="12" t="s">
        <v>194</v>
      </c>
      <c r="B22" t="s">
        <v>195</v>
      </c>
    </row>
    <row r="23" spans="1:2" x14ac:dyDescent="0.3">
      <c r="A23" s="12" t="s">
        <v>196</v>
      </c>
      <c r="B23" t="s">
        <v>197</v>
      </c>
    </row>
    <row r="24" spans="1:2" x14ac:dyDescent="0.3">
      <c r="A24" s="12" t="s">
        <v>198</v>
      </c>
      <c r="B24" t="s">
        <v>199</v>
      </c>
    </row>
    <row r="25" spans="1:2" x14ac:dyDescent="0.3">
      <c r="A25" s="12" t="s">
        <v>200</v>
      </c>
      <c r="B25" t="s">
        <v>201</v>
      </c>
    </row>
    <row r="26" spans="1:2" x14ac:dyDescent="0.3">
      <c r="A26" s="12" t="s">
        <v>202</v>
      </c>
      <c r="B26" t="s">
        <v>203</v>
      </c>
    </row>
    <row r="27" spans="1:2" x14ac:dyDescent="0.3">
      <c r="A27" s="12" t="s">
        <v>204</v>
      </c>
      <c r="B27" t="s">
        <v>205</v>
      </c>
    </row>
    <row r="28" spans="1:2" x14ac:dyDescent="0.3">
      <c r="A28" s="11" t="s">
        <v>206</v>
      </c>
      <c r="B28" t="s">
        <v>540</v>
      </c>
    </row>
    <row r="29" spans="1:2" x14ac:dyDescent="0.3">
      <c r="A29" s="11" t="s">
        <v>207</v>
      </c>
      <c r="B29" t="s">
        <v>597</v>
      </c>
    </row>
    <row r="30" spans="1:2" x14ac:dyDescent="0.3">
      <c r="A30" s="11" t="s">
        <v>208</v>
      </c>
      <c r="B30" t="s">
        <v>209</v>
      </c>
    </row>
    <row r="31" spans="1:2" x14ac:dyDescent="0.3">
      <c r="A31" s="12" t="s">
        <v>210</v>
      </c>
      <c r="B31" t="s">
        <v>211</v>
      </c>
    </row>
    <row r="32" spans="1:2" x14ac:dyDescent="0.3">
      <c r="A32" s="12" t="s">
        <v>212</v>
      </c>
      <c r="B32" t="s">
        <v>213</v>
      </c>
    </row>
    <row r="33" spans="1:2" x14ac:dyDescent="0.3">
      <c r="A33" s="12" t="s">
        <v>214</v>
      </c>
      <c r="B33" t="s">
        <v>215</v>
      </c>
    </row>
    <row r="34" spans="1:2" x14ac:dyDescent="0.3">
      <c r="A34" s="12" t="s">
        <v>216</v>
      </c>
      <c r="B34" t="s">
        <v>217</v>
      </c>
    </row>
    <row r="35" spans="1:2" x14ac:dyDescent="0.3">
      <c r="A35" s="12" t="s">
        <v>218</v>
      </c>
      <c r="B35" t="s">
        <v>217</v>
      </c>
    </row>
    <row r="36" spans="1:2" x14ac:dyDescent="0.3">
      <c r="A36" s="12" t="s">
        <v>219</v>
      </c>
      <c r="B36" t="s">
        <v>217</v>
      </c>
    </row>
    <row r="37" spans="1:2" x14ac:dyDescent="0.3">
      <c r="A37" s="12" t="s">
        <v>220</v>
      </c>
      <c r="B37" t="s">
        <v>221</v>
      </c>
    </row>
    <row r="38" spans="1:2" x14ac:dyDescent="0.3">
      <c r="A38" s="12" t="s">
        <v>222</v>
      </c>
      <c r="B38" t="s">
        <v>223</v>
      </c>
    </row>
    <row r="39" spans="1:2" x14ac:dyDescent="0.3">
      <c r="A39" s="12" t="s">
        <v>224</v>
      </c>
      <c r="B39" t="s">
        <v>225</v>
      </c>
    </row>
    <row r="40" spans="1:2" x14ac:dyDescent="0.3">
      <c r="A40" s="12" t="s">
        <v>226</v>
      </c>
      <c r="B40" t="s">
        <v>227</v>
      </c>
    </row>
    <row r="41" spans="1:2" x14ac:dyDescent="0.3">
      <c r="A41" s="12" t="s">
        <v>228</v>
      </c>
      <c r="B41" t="s">
        <v>229</v>
      </c>
    </row>
    <row r="42" spans="1:2" x14ac:dyDescent="0.3">
      <c r="A42" s="12" t="s">
        <v>230</v>
      </c>
      <c r="B42" t="s">
        <v>231</v>
      </c>
    </row>
    <row r="43" spans="1:2" x14ac:dyDescent="0.3">
      <c r="A43" s="12" t="s">
        <v>232</v>
      </c>
      <c r="B43" t="s">
        <v>233</v>
      </c>
    </row>
    <row r="44" spans="1:2" x14ac:dyDescent="0.3">
      <c r="A44" s="12" t="s">
        <v>234</v>
      </c>
      <c r="B44" t="s">
        <v>235</v>
      </c>
    </row>
    <row r="45" spans="1:2" x14ac:dyDescent="0.3">
      <c r="A45" s="12" t="s">
        <v>236</v>
      </c>
      <c r="B45" t="s">
        <v>237</v>
      </c>
    </row>
    <row r="46" spans="1:2" x14ac:dyDescent="0.3">
      <c r="A46" s="12" t="s">
        <v>238</v>
      </c>
    </row>
    <row r="47" spans="1:2" x14ac:dyDescent="0.3">
      <c r="A47" s="12" t="s">
        <v>239</v>
      </c>
      <c r="B47" s="6"/>
    </row>
    <row r="48" spans="1:2" x14ac:dyDescent="0.3">
      <c r="A48" s="12" t="s">
        <v>240</v>
      </c>
      <c r="B48" s="6"/>
    </row>
    <row r="49" spans="1:2" x14ac:dyDescent="0.3">
      <c r="A49" s="11" t="s">
        <v>241</v>
      </c>
      <c r="B49" t="s">
        <v>541</v>
      </c>
    </row>
    <row r="50" spans="1:2" x14ac:dyDescent="0.3">
      <c r="A50" s="11" t="s">
        <v>242</v>
      </c>
      <c r="B50" t="s">
        <v>542</v>
      </c>
    </row>
    <row r="51" spans="1:2" x14ac:dyDescent="0.3">
      <c r="A51" s="12" t="s">
        <v>243</v>
      </c>
      <c r="B51" t="s">
        <v>244</v>
      </c>
    </row>
    <row r="52" spans="1:2" x14ac:dyDescent="0.3">
      <c r="A52" s="12" t="s">
        <v>245</v>
      </c>
      <c r="B52" t="s">
        <v>246</v>
      </c>
    </row>
    <row r="53" spans="1:2" x14ac:dyDescent="0.3">
      <c r="A53" s="12" t="s">
        <v>247</v>
      </c>
      <c r="B53" t="s">
        <v>248</v>
      </c>
    </row>
    <row r="54" spans="1:2" x14ac:dyDescent="0.3">
      <c r="A54" s="12" t="s">
        <v>249</v>
      </c>
      <c r="B54" t="s">
        <v>250</v>
      </c>
    </row>
    <row r="55" spans="1:2" x14ac:dyDescent="0.3">
      <c r="A55" s="12" t="s">
        <v>251</v>
      </c>
      <c r="B55" t="s">
        <v>252</v>
      </c>
    </row>
    <row r="56" spans="1:2" x14ac:dyDescent="0.3">
      <c r="A56" s="12" t="s">
        <v>253</v>
      </c>
      <c r="B56" t="s">
        <v>254</v>
      </c>
    </row>
    <row r="57" spans="1:2" x14ac:dyDescent="0.3">
      <c r="A57" s="12" t="s">
        <v>255</v>
      </c>
      <c r="B57" t="s">
        <v>256</v>
      </c>
    </row>
    <row r="58" spans="1:2" x14ac:dyDescent="0.3">
      <c r="A58" s="12" t="s">
        <v>257</v>
      </c>
      <c r="B58" t="s">
        <v>258</v>
      </c>
    </row>
    <row r="59" spans="1:2" x14ac:dyDescent="0.3">
      <c r="A59" s="12" t="s">
        <v>259</v>
      </c>
      <c r="B59" t="s">
        <v>260</v>
      </c>
    </row>
    <row r="60" spans="1:2" x14ac:dyDescent="0.3">
      <c r="A60" s="12" t="s">
        <v>261</v>
      </c>
      <c r="B60" t="s">
        <v>262</v>
      </c>
    </row>
    <row r="61" spans="1:2" x14ac:dyDescent="0.3">
      <c r="A61" s="12" t="s">
        <v>263</v>
      </c>
      <c r="B61" t="s">
        <v>264</v>
      </c>
    </row>
    <row r="62" spans="1:2" x14ac:dyDescent="0.3">
      <c r="A62" s="12" t="s">
        <v>265</v>
      </c>
      <c r="B62" t="s">
        <v>266</v>
      </c>
    </row>
    <row r="63" spans="1:2" x14ac:dyDescent="0.3">
      <c r="A63" s="12" t="s">
        <v>267</v>
      </c>
      <c r="B63" t="s">
        <v>268</v>
      </c>
    </row>
    <row r="64" spans="1:2" x14ac:dyDescent="0.3">
      <c r="A64" s="12" t="s">
        <v>269</v>
      </c>
      <c r="B64" t="s">
        <v>270</v>
      </c>
    </row>
    <row r="65" spans="1:2" x14ac:dyDescent="0.3">
      <c r="A65" s="12" t="s">
        <v>271</v>
      </c>
      <c r="B65" t="s">
        <v>272</v>
      </c>
    </row>
    <row r="66" spans="1:2" x14ac:dyDescent="0.3">
      <c r="A66" s="12" t="s">
        <v>273</v>
      </c>
      <c r="B66" t="s">
        <v>274</v>
      </c>
    </row>
    <row r="67" spans="1:2" x14ac:dyDescent="0.3">
      <c r="A67" s="12" t="s">
        <v>275</v>
      </c>
      <c r="B67" t="s">
        <v>276</v>
      </c>
    </row>
    <row r="68" spans="1:2" x14ac:dyDescent="0.3">
      <c r="A68" s="12" t="s">
        <v>277</v>
      </c>
      <c r="B68" t="s">
        <v>278</v>
      </c>
    </row>
    <row r="69" spans="1:2" x14ac:dyDescent="0.3">
      <c r="A69" s="12" t="s">
        <v>279</v>
      </c>
      <c r="B69" t="s">
        <v>280</v>
      </c>
    </row>
    <row r="70" spans="1:2" x14ac:dyDescent="0.3">
      <c r="A70" s="12" t="s">
        <v>281</v>
      </c>
      <c r="B70" t="s">
        <v>282</v>
      </c>
    </row>
    <row r="71" spans="1:2" x14ac:dyDescent="0.3">
      <c r="A71" s="12" t="s">
        <v>283</v>
      </c>
      <c r="B71" t="s">
        <v>284</v>
      </c>
    </row>
    <row r="72" spans="1:2" x14ac:dyDescent="0.3">
      <c r="A72" s="12" t="s">
        <v>285</v>
      </c>
      <c r="B72" t="s">
        <v>286</v>
      </c>
    </row>
    <row r="73" spans="1:2" x14ac:dyDescent="0.3">
      <c r="A73" s="12" t="s">
        <v>287</v>
      </c>
      <c r="B73" t="s">
        <v>288</v>
      </c>
    </row>
    <row r="74" spans="1:2" x14ac:dyDescent="0.3">
      <c r="A74" s="12" t="s">
        <v>289</v>
      </c>
      <c r="B74" t="s">
        <v>290</v>
      </c>
    </row>
    <row r="75" spans="1:2" x14ac:dyDescent="0.3">
      <c r="A75" s="12" t="s">
        <v>291</v>
      </c>
      <c r="B75" t="s">
        <v>292</v>
      </c>
    </row>
    <row r="76" spans="1:2" x14ac:dyDescent="0.3">
      <c r="A76" s="12" t="s">
        <v>293</v>
      </c>
      <c r="B76" t="s">
        <v>294</v>
      </c>
    </row>
    <row r="77" spans="1:2" x14ac:dyDescent="0.3">
      <c r="A77" s="12" t="s">
        <v>295</v>
      </c>
      <c r="B77" t="s">
        <v>296</v>
      </c>
    </row>
    <row r="78" spans="1:2" x14ac:dyDescent="0.3">
      <c r="A78" s="12" t="s">
        <v>297</v>
      </c>
      <c r="B78" t="s">
        <v>298</v>
      </c>
    </row>
    <row r="79" spans="1:2" x14ac:dyDescent="0.3">
      <c r="A79" s="12" t="s">
        <v>299</v>
      </c>
      <c r="B79" t="s">
        <v>300</v>
      </c>
    </row>
    <row r="80" spans="1:2" x14ac:dyDescent="0.3">
      <c r="A80" s="12" t="s">
        <v>301</v>
      </c>
      <c r="B80" t="s">
        <v>302</v>
      </c>
    </row>
    <row r="81" spans="1:2" x14ac:dyDescent="0.3">
      <c r="A81" s="12" t="s">
        <v>303</v>
      </c>
      <c r="B81" t="s">
        <v>304</v>
      </c>
    </row>
    <row r="82" spans="1:2" x14ac:dyDescent="0.3">
      <c r="A82" s="12" t="s">
        <v>305</v>
      </c>
      <c r="B82" t="s">
        <v>488</v>
      </c>
    </row>
    <row r="83" spans="1:2" x14ac:dyDescent="0.3">
      <c r="A83" s="11" t="s">
        <v>306</v>
      </c>
      <c r="B83" s="13" t="s">
        <v>543</v>
      </c>
    </row>
    <row r="84" spans="1:2" x14ac:dyDescent="0.3">
      <c r="A84" s="11" t="s">
        <v>307</v>
      </c>
      <c r="B84" t="s">
        <v>308</v>
      </c>
    </row>
    <row r="85" spans="1:2" x14ac:dyDescent="0.3">
      <c r="A85" s="12" t="s">
        <v>309</v>
      </c>
      <c r="B85" t="s">
        <v>310</v>
      </c>
    </row>
    <row r="86" spans="1:2" x14ac:dyDescent="0.3">
      <c r="A86" s="12" t="s">
        <v>311</v>
      </c>
      <c r="B86" t="s">
        <v>312</v>
      </c>
    </row>
    <row r="87" spans="1:2" x14ac:dyDescent="0.3">
      <c r="A87" s="12" t="s">
        <v>313</v>
      </c>
      <c r="B87" t="s">
        <v>314</v>
      </c>
    </row>
    <row r="88" spans="1:2" x14ac:dyDescent="0.3">
      <c r="A88" s="11" t="s">
        <v>315</v>
      </c>
      <c r="B88" t="s">
        <v>594</v>
      </c>
    </row>
    <row r="89" spans="1:2" x14ac:dyDescent="0.3">
      <c r="A89" s="12" t="s">
        <v>316</v>
      </c>
      <c r="B89" t="s">
        <v>317</v>
      </c>
    </row>
    <row r="90" spans="1:2" x14ac:dyDescent="0.3">
      <c r="A90" s="12" t="s">
        <v>318</v>
      </c>
      <c r="B90" t="s">
        <v>319</v>
      </c>
    </row>
    <row r="91" spans="1:2" ht="17.25" customHeight="1" x14ac:dyDescent="0.3">
      <c r="A91" s="11" t="s">
        <v>320</v>
      </c>
      <c r="B91" t="s">
        <v>544</v>
      </c>
    </row>
    <row r="92" spans="1:2" x14ac:dyDescent="0.3">
      <c r="A92" s="12" t="s">
        <v>321</v>
      </c>
      <c r="B92" t="s">
        <v>457</v>
      </c>
    </row>
    <row r="93" spans="1:2" x14ac:dyDescent="0.3">
      <c r="A93" s="12" t="s">
        <v>322</v>
      </c>
      <c r="B93" t="s">
        <v>323</v>
      </c>
    </row>
    <row r="94" spans="1:2" x14ac:dyDescent="0.3">
      <c r="A94" s="12" t="s">
        <v>324</v>
      </c>
    </row>
    <row r="95" spans="1:2" x14ac:dyDescent="0.3">
      <c r="A95" s="12" t="s">
        <v>325</v>
      </c>
      <c r="B95" t="s">
        <v>326</v>
      </c>
    </row>
    <row r="96" spans="1:2" x14ac:dyDescent="0.3">
      <c r="A96" s="12" t="s">
        <v>327</v>
      </c>
      <c r="B96" t="s">
        <v>328</v>
      </c>
    </row>
    <row r="97" spans="1:2" x14ac:dyDescent="0.3">
      <c r="A97" s="12" t="s">
        <v>329</v>
      </c>
      <c r="B97" t="s">
        <v>330</v>
      </c>
    </row>
    <row r="98" spans="1:2" x14ac:dyDescent="0.3">
      <c r="A98" s="11" t="s">
        <v>331</v>
      </c>
      <c r="B98" t="s">
        <v>545</v>
      </c>
    </row>
    <row r="99" spans="1:2" x14ac:dyDescent="0.3">
      <c r="A99" s="11" t="s">
        <v>332</v>
      </c>
      <c r="B99" t="s">
        <v>546</v>
      </c>
    </row>
    <row r="100" spans="1:2" x14ac:dyDescent="0.3">
      <c r="A100" s="12" t="s">
        <v>333</v>
      </c>
    </row>
    <row r="101" spans="1:2" x14ac:dyDescent="0.3">
      <c r="A101" s="12" t="s">
        <v>334</v>
      </c>
      <c r="B101" t="s">
        <v>335</v>
      </c>
    </row>
    <row r="102" spans="1:2" x14ac:dyDescent="0.3">
      <c r="A102" s="12" t="s">
        <v>336</v>
      </c>
      <c r="B102" t="s">
        <v>337</v>
      </c>
    </row>
    <row r="103" spans="1:2" x14ac:dyDescent="0.3">
      <c r="A103" s="12" t="s">
        <v>338</v>
      </c>
      <c r="B103" t="s">
        <v>339</v>
      </c>
    </row>
    <row r="104" spans="1:2" x14ac:dyDescent="0.3">
      <c r="A104" s="11" t="s">
        <v>340</v>
      </c>
      <c r="B104" t="s">
        <v>547</v>
      </c>
    </row>
    <row r="105" spans="1:2" x14ac:dyDescent="0.3">
      <c r="A105" s="11" t="s">
        <v>341</v>
      </c>
      <c r="B105" t="s">
        <v>548</v>
      </c>
    </row>
    <row r="106" spans="1:2" x14ac:dyDescent="0.3">
      <c r="A106" s="11" t="s">
        <v>342</v>
      </c>
      <c r="B106" t="s">
        <v>549</v>
      </c>
    </row>
    <row r="107" spans="1:2" x14ac:dyDescent="0.3">
      <c r="A107" s="12" t="s">
        <v>343</v>
      </c>
      <c r="B107" t="s">
        <v>344</v>
      </c>
    </row>
    <row r="108" spans="1:2" x14ac:dyDescent="0.3">
      <c r="A108" s="12" t="s">
        <v>345</v>
      </c>
      <c r="B108" t="s">
        <v>346</v>
      </c>
    </row>
    <row r="109" spans="1:2" x14ac:dyDescent="0.3">
      <c r="A109" s="11" t="s">
        <v>347</v>
      </c>
      <c r="B109" t="s">
        <v>550</v>
      </c>
    </row>
    <row r="110" spans="1:2" x14ac:dyDescent="0.3">
      <c r="A110" s="12" t="s">
        <v>348</v>
      </c>
      <c r="B110" t="s">
        <v>349</v>
      </c>
    </row>
    <row r="111" spans="1:2" x14ac:dyDescent="0.3">
      <c r="A111" s="12" t="s">
        <v>350</v>
      </c>
      <c r="B111" t="s">
        <v>351</v>
      </c>
    </row>
    <row r="112" spans="1:2" x14ac:dyDescent="0.3">
      <c r="A112" s="12" t="s">
        <v>352</v>
      </c>
      <c r="B112" t="s">
        <v>353</v>
      </c>
    </row>
    <row r="113" spans="1:2" x14ac:dyDescent="0.3">
      <c r="A113" s="12" t="s">
        <v>354</v>
      </c>
      <c r="B113" t="s">
        <v>355</v>
      </c>
    </row>
    <row r="114" spans="1:2" x14ac:dyDescent="0.3">
      <c r="A114" s="12" t="s">
        <v>356</v>
      </c>
      <c r="B114" t="s">
        <v>357</v>
      </c>
    </row>
    <row r="115" spans="1:2" x14ac:dyDescent="0.3">
      <c r="A115" s="12" t="s">
        <v>358</v>
      </c>
      <c r="B115" t="s">
        <v>359</v>
      </c>
    </row>
    <row r="116" spans="1:2" x14ac:dyDescent="0.3">
      <c r="A116" s="12" t="s">
        <v>360</v>
      </c>
      <c r="B116" t="s">
        <v>551</v>
      </c>
    </row>
    <row r="117" spans="1:2" x14ac:dyDescent="0.3">
      <c r="A117" s="12" t="s">
        <v>489</v>
      </c>
      <c r="B117" t="s">
        <v>490</v>
      </c>
    </row>
    <row r="118" spans="1:2" x14ac:dyDescent="0.3">
      <c r="A118" s="12" t="s">
        <v>492</v>
      </c>
      <c r="B118" t="s">
        <v>491</v>
      </c>
    </row>
    <row r="119" spans="1:2" s="12" customFormat="1" x14ac:dyDescent="0.3">
      <c r="A119" s="12" t="s">
        <v>361</v>
      </c>
      <c r="B119" s="12" t="s">
        <v>362</v>
      </c>
    </row>
    <row r="120" spans="1:2" s="12" customFormat="1" x14ac:dyDescent="0.3">
      <c r="A120" s="12" t="s">
        <v>363</v>
      </c>
      <c r="B120" s="12" t="s">
        <v>364</v>
      </c>
    </row>
    <row r="121" spans="1:2" s="12" customFormat="1" x14ac:dyDescent="0.3">
      <c r="A121" s="12" t="s">
        <v>365</v>
      </c>
      <c r="B121" s="12" t="s">
        <v>366</v>
      </c>
    </row>
    <row r="122" spans="1:2" s="12" customFormat="1" x14ac:dyDescent="0.3">
      <c r="A122" s="12" t="s">
        <v>367</v>
      </c>
      <c r="B122" s="12" t="s">
        <v>368</v>
      </c>
    </row>
    <row r="123" spans="1:2" s="12" customFormat="1" x14ac:dyDescent="0.3">
      <c r="A123" s="12" t="s">
        <v>369</v>
      </c>
      <c r="B123" s="12" t="s">
        <v>370</v>
      </c>
    </row>
    <row r="124" spans="1:2" s="12" customFormat="1" x14ac:dyDescent="0.3">
      <c r="A124" s="12" t="s">
        <v>371</v>
      </c>
      <c r="B124" s="12" t="s">
        <v>372</v>
      </c>
    </row>
    <row r="125" spans="1:2" s="12" customFormat="1" x14ac:dyDescent="0.3">
      <c r="A125" s="12" t="s">
        <v>373</v>
      </c>
      <c r="B125" s="12" t="s">
        <v>374</v>
      </c>
    </row>
    <row r="126" spans="1:2" s="12" customFormat="1" x14ac:dyDescent="0.3">
      <c r="A126" s="12" t="s">
        <v>375</v>
      </c>
      <c r="B126" s="12" t="s">
        <v>376</v>
      </c>
    </row>
    <row r="127" spans="1:2" s="12" customFormat="1" x14ac:dyDescent="0.3">
      <c r="A127" s="12" t="s">
        <v>377</v>
      </c>
      <c r="B127" s="12" t="s">
        <v>378</v>
      </c>
    </row>
    <row r="128" spans="1:2" x14ac:dyDescent="0.3">
      <c r="A128" s="11" t="s">
        <v>493</v>
      </c>
      <c r="B128" t="s">
        <v>552</v>
      </c>
    </row>
    <row r="129" spans="1:2" x14ac:dyDescent="0.3">
      <c r="A129" s="11" t="s">
        <v>553</v>
      </c>
      <c r="B129" s="14" t="s">
        <v>554</v>
      </c>
    </row>
    <row r="130" spans="1:2" ht="17.399999999999999" x14ac:dyDescent="0.3">
      <c r="A130" s="11" t="s">
        <v>556</v>
      </c>
      <c r="B130" t="s">
        <v>555</v>
      </c>
    </row>
    <row r="131" spans="1:2" ht="25.5" customHeight="1" x14ac:dyDescent="0.3">
      <c r="A131" s="11" t="s">
        <v>596</v>
      </c>
      <c r="B131" s="45" t="s">
        <v>595</v>
      </c>
    </row>
    <row r="132" spans="1:2" x14ac:dyDescent="0.3">
      <c r="A132" s="11" t="s">
        <v>570</v>
      </c>
      <c r="B132" s="44"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Bathroom Script</vt:lpstr>
      <vt:lpstr>Hot Keys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Smith</dc:creator>
  <cp:lastModifiedBy>Ashley Smith</cp:lastModifiedBy>
  <dcterms:created xsi:type="dcterms:W3CDTF">2018-08-31T03:32:13Z</dcterms:created>
  <dcterms:modified xsi:type="dcterms:W3CDTF">2026-02-13T04:11:48Z</dcterms:modified>
</cp:coreProperties>
</file>