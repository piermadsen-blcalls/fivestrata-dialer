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autowebinc-my.sharepoint.com/personal/ashley_smith_buyerlink_com/Documents/Desktop/"/>
    </mc:Choice>
  </mc:AlternateContent>
  <xr:revisionPtr revIDLastSave="0" documentId="8_{984C167D-06D4-4FBB-8244-4979A7A60866}" xr6:coauthVersionLast="47" xr6:coauthVersionMax="47" xr10:uidLastSave="{00000000-0000-0000-0000-000000000000}"/>
  <bookViews>
    <workbookView xWindow="-108" yWindow="-108" windowWidth="23256" windowHeight="13896" xr2:uid="{B00DC431-C19A-4C0C-9318-CD3A6F0404EF}"/>
  </bookViews>
  <sheets>
    <sheet name="Windows Script" sheetId="1" r:id="rId1"/>
    <sheet name="Hot Key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23" i="1" l="1"/>
  <c r="C217" i="1"/>
  <c r="B187" i="1"/>
  <c r="C13" i="1"/>
  <c r="B214" i="1" l="1"/>
  <c r="B33" i="1" l="1"/>
  <c r="B30" i="1"/>
  <c r="B27" i="1"/>
  <c r="B241" i="1"/>
  <c r="B235" i="1"/>
  <c r="B232" i="1"/>
  <c r="C226" i="1"/>
  <c r="B202" i="1"/>
  <c r="B190" i="1"/>
  <c r="B141" i="1"/>
  <c r="A130" i="1" l="1"/>
  <c r="B196" i="1" l="1"/>
  <c r="C193" i="1"/>
</calcChain>
</file>

<file path=xl/sharedStrings.xml><?xml version="1.0" encoding="utf-8"?>
<sst xmlns="http://schemas.openxmlformats.org/spreadsheetml/2006/main" count="270" uniqueCount="261">
  <si>
    <t>Introduction</t>
  </si>
  <si>
    <t>Pitch</t>
  </si>
  <si>
    <t>1 - Yes</t>
  </si>
  <si>
    <t>2 - No</t>
  </si>
  <si>
    <t>3 - Repeat - Long</t>
  </si>
  <si>
    <t>4 - Repeat - Short</t>
  </si>
  <si>
    <t>7 -</t>
  </si>
  <si>
    <t>8 -</t>
  </si>
  <si>
    <t xml:space="preserve"> </t>
  </si>
  <si>
    <t>0 - Pause</t>
  </si>
  <si>
    <t>9 - Repeat</t>
  </si>
  <si>
    <t>Common Pathways</t>
  </si>
  <si>
    <t>5 - Not Interested</t>
  </si>
  <si>
    <t>Recap</t>
  </si>
  <si>
    <t>Client Branding</t>
  </si>
  <si>
    <t>TCPA</t>
  </si>
  <si>
    <t>How are you?</t>
  </si>
  <si>
    <t>6 - Hesitant</t>
  </si>
  <si>
    <t>“WHY DO YOU NEED THIS INFORMATION?”</t>
  </si>
  <si>
    <t>OPTION 2</t>
  </si>
  <si>
    <t>MINIMUM REQUIREMENTS</t>
  </si>
  <si>
    <t>“WHAT COMPANIES?”</t>
  </si>
  <si>
    <t>HOW MUCH?</t>
  </si>
  <si>
    <t>CALL ID QUESTIONS</t>
  </si>
  <si>
    <t>YOUR NAME?</t>
  </si>
  <si>
    <t>OPTION 3</t>
  </si>
  <si>
    <t>WHAT IS IT CALLED?</t>
  </si>
  <si>
    <t>HOW GET NUMBER?</t>
  </si>
  <si>
    <t>CONTINUE</t>
  </si>
  <si>
    <t>Company?</t>
  </si>
  <si>
    <t>WHO / FROM?</t>
  </si>
  <si>
    <t>WHAT NEXT?</t>
  </si>
  <si>
    <t xml:space="preserve"> NOT INTERESTED</t>
  </si>
  <si>
    <t>DON’T NEED RIGHT NOW</t>
  </si>
  <si>
    <t>NEXT STEPS</t>
  </si>
  <si>
    <t>DEFERMENT</t>
  </si>
  <si>
    <t>ROUND 2</t>
  </si>
  <si>
    <t>Greeting</t>
  </si>
  <si>
    <t>Gatekeeper 1</t>
  </si>
  <si>
    <t>Not Home 2</t>
  </si>
  <si>
    <t>Gatekeeper 2</t>
  </si>
  <si>
    <t>Pitch - Long Repeat</t>
  </si>
  <si>
    <r>
      <t>Intro 1</t>
    </r>
    <r>
      <rPr>
        <sz val="11"/>
        <color theme="1"/>
        <rFont val="Calibri"/>
        <family val="2"/>
        <scheme val="minor"/>
      </rPr>
      <t xml:space="preserve"> (Default)</t>
    </r>
  </si>
  <si>
    <r>
      <t>Intro 2</t>
    </r>
    <r>
      <rPr>
        <sz val="11"/>
        <color theme="1"/>
        <rFont val="Calibri"/>
        <family val="2"/>
        <scheme val="minor"/>
      </rPr>
      <t xml:space="preserve"> (Ak/KY/LA/MA/ND/WY)</t>
    </r>
  </si>
  <si>
    <t>Intro 3 - Repeat</t>
  </si>
  <si>
    <t>Survey</t>
  </si>
  <si>
    <t>TCPA Consent</t>
  </si>
  <si>
    <t>Transfer Attempt</t>
  </si>
  <si>
    <t>Rebuttals &amp; FAQ</t>
  </si>
  <si>
    <t>Recap - Short Repeat</t>
  </si>
  <si>
    <t>Recap - Long Repeat</t>
  </si>
  <si>
    <t>TCPA - Repeat</t>
  </si>
  <si>
    <t>R1.0</t>
  </si>
  <si>
    <t>R2.0</t>
  </si>
  <si>
    <t>R4.0</t>
  </si>
  <si>
    <t>R6.0</t>
  </si>
  <si>
    <t>R9.0</t>
  </si>
  <si>
    <t>R10.0</t>
  </si>
  <si>
    <t>R10.1</t>
  </si>
  <si>
    <t>R20.0</t>
  </si>
  <si>
    <t>R21.0</t>
  </si>
  <si>
    <t>R21.1</t>
  </si>
  <si>
    <t>R22.1</t>
  </si>
  <si>
    <t>R22.0</t>
  </si>
  <si>
    <t>R23.0</t>
  </si>
  <si>
    <t>R24.0</t>
  </si>
  <si>
    <t>R25.0</t>
  </si>
  <si>
    <t>R27.0</t>
  </si>
  <si>
    <t>R27.1</t>
  </si>
  <si>
    <t>R27.2</t>
  </si>
  <si>
    <t>R28.0</t>
  </si>
  <si>
    <t>R28.1</t>
  </si>
  <si>
    <t>R29.0</t>
  </si>
  <si>
    <t>R30.0</t>
  </si>
  <si>
    <t>R31.0</t>
  </si>
  <si>
    <t>R32.0</t>
  </si>
  <si>
    <t>R33.0</t>
  </si>
  <si>
    <t>R35.0</t>
  </si>
  <si>
    <t>R36.0</t>
  </si>
  <si>
    <t>R37.0</t>
  </si>
  <si>
    <t>R37.1</t>
  </si>
  <si>
    <t>Inbound Phone #:</t>
  </si>
  <si>
    <t>Customer Service #:</t>
  </si>
  <si>
    <t>Website</t>
  </si>
  <si>
    <t>Company Phone#</t>
  </si>
  <si>
    <t>Website - Repeat</t>
  </si>
  <si>
    <t>R31.1</t>
  </si>
  <si>
    <t>Company Information</t>
  </si>
  <si>
    <t>Call Center Location:</t>
  </si>
  <si>
    <t>Call Center Name:</t>
  </si>
  <si>
    <t>Phillipines</t>
  </si>
  <si>
    <t>Customer Service Email:</t>
  </si>
  <si>
    <t>Avatar Name:</t>
  </si>
  <si>
    <t>Description [1]</t>
  </si>
  <si>
    <t>Description [2]</t>
  </si>
  <si>
    <t>From [1]</t>
  </si>
  <si>
    <t>From [2]</t>
  </si>
  <si>
    <t>From [3]</t>
  </si>
  <si>
    <t>Justify [1]</t>
  </si>
  <si>
    <t>Justify [2]</t>
  </si>
  <si>
    <t>Phone [1]</t>
  </si>
  <si>
    <t>Phone [2]</t>
  </si>
  <si>
    <t>Phone [3]</t>
  </si>
  <si>
    <t>Qualify [1]</t>
  </si>
  <si>
    <t>Qualify [2]</t>
  </si>
  <si>
    <t>Who [1]</t>
  </si>
  <si>
    <t>Who [2]</t>
  </si>
  <si>
    <t>Who [3]</t>
  </si>
  <si>
    <t>What next [2]</t>
  </si>
  <si>
    <t>How get # [1]</t>
  </si>
  <si>
    <t>How much [1]</t>
  </si>
  <si>
    <t>How much [2]</t>
  </si>
  <si>
    <t>How much [3]</t>
  </si>
  <si>
    <t>Let me get you over to the specialist who can discuss the cost with you, but remember you're under no obligation to buy after the free consultation, okay?</t>
  </si>
  <si>
    <t>Savings % [3]</t>
  </si>
  <si>
    <t>How work [1]</t>
  </si>
  <si>
    <t>How work [2]</t>
  </si>
  <si>
    <t>Website [1]</t>
  </si>
  <si>
    <t>Website [2]</t>
  </si>
  <si>
    <t>Website [3]</t>
  </si>
  <si>
    <t>Scam [3]</t>
  </si>
  <si>
    <t>Greet - Not Home 2</t>
  </si>
  <si>
    <t>Greet - Gatekeeper 1</t>
  </si>
  <si>
    <t>Greet - Gatekeeper 2</t>
  </si>
  <si>
    <t>Intro - Basic</t>
  </si>
  <si>
    <t>Intro - Special</t>
  </si>
  <si>
    <t>Pitch - Full</t>
  </si>
  <si>
    <t>Pitch - Long</t>
  </si>
  <si>
    <t>Pitch - Short</t>
  </si>
  <si>
    <t>Survey - Long</t>
  </si>
  <si>
    <t>Survey - Short</t>
  </si>
  <si>
    <t>Recap - Long</t>
  </si>
  <si>
    <t>Recap - Short</t>
  </si>
  <si>
    <t>TCPA - Full</t>
  </si>
  <si>
    <t>Generic</t>
  </si>
  <si>
    <t xml:space="preserve">   </t>
  </si>
  <si>
    <t>Pitch - Short Repeat</t>
  </si>
  <si>
    <t>Survey - Full - Yes</t>
  </si>
  <si>
    <t>Okay, well we actually received this number from an online inquiry. Was that you or somebody else?</t>
  </si>
  <si>
    <t>HESITANT</t>
  </si>
  <si>
    <t>I understand that the timing of this call isn’t really convenient for you, but remember this consultation is absolutely free and actually 
requires no commitment from you at all.  You have nothing to lose by receiving these details, okay?</t>
  </si>
  <si>
    <t>Transfer - Handoff</t>
  </si>
  <si>
    <t>Transfer Handoff</t>
  </si>
  <si>
    <t>Company Brand</t>
  </si>
  <si>
    <t>Company Website</t>
  </si>
  <si>
    <t>Intro - Repeat</t>
  </si>
  <si>
    <t>R38</t>
  </si>
  <si>
    <t>R39</t>
  </si>
  <si>
    <t>Oh, I'm glad to hear that!</t>
  </si>
  <si>
    <t>GLAD</t>
  </si>
  <si>
    <t>How Are You?</t>
  </si>
  <si>
    <t>Superior Home</t>
  </si>
  <si>
    <t>Okay, and actually, you know, it looks like a specialist is available right now for that free consultation. So, if it's okay with 
you, I'm gonna go ahead and transfer you over right now. Just stay on the line and they will be right with you okay?</t>
  </si>
  <si>
    <t>Again, I would hate to give you any misleading or incorrect information, since I am not a specialist.  My job is just to see if you qualify for the program. Now would you like me to proceed and make arrangements to have a qualified specialist answer those questions for you?</t>
  </si>
  <si>
    <t>Ok well we actually received this number from an online inquiry for more information about windows. Was that you or somebody else?</t>
  </si>
  <si>
    <t>Well the minimum qualifications do vary a bit by area, but basically I just have a few general questions. Now if you do qualify for a free quote then we'll pass your information on to the Windows company that will call you back within about 24 hours and they'll give you all the details that you'll need to decide for yourself if new windows would be a good fit for you or not, okay?</t>
  </si>
  <si>
    <t>You're under no obligation. This is a free service to see if a  new windows would be a good option for you, okay?</t>
  </si>
  <si>
    <t>Oh, so let me ask you - would you be interested in learning more about how new windows could help save you money in other areas?</t>
  </si>
  <si>
    <t>Ok well the reason for my call is to follow up on the online request that you filled out to receive a FREE windows consultation for your home. Now my job at Superior Home is just to make sure that you're interested in speaking with a windows specialist and that you do meet those minimum qualifications, okay?</t>
  </si>
  <si>
    <t>My job is just to make sure that you're interested in speaking with a windows specialist, okay?</t>
  </si>
  <si>
    <t>The specialist will give you all the details that you'll need to decide for yourself if new windows is  going to be a good fit for you or not, okay?</t>
  </si>
  <si>
    <t>So yeah, actually all we need to do is confirm that you own your own home; that it's not a mobile home, log cabin or a new construction, and it's only going to take me a minute, okay?</t>
  </si>
  <si>
    <t>You know that's actually a really great question and it really will depend on how many windows you have and what type of windows you have and what solution is right for you. I do know that there are a few options the specialist can review with you, okay?</t>
  </si>
  <si>
    <t>The specialist will review all the options with you and make sure it will be benefit for you, okay?</t>
  </si>
  <si>
    <t>So Superior home  works with a network of windows specialists. This actually allows us to customize our services to you and connect you with the most suitable local that meets your personal requirements.</t>
  </si>
  <si>
    <t>That's a good question, unfortunately, I am not the best person to answer it. My job is simply to make sure you qualify for a 
free windows consultation, and then to pass you off to a specialist. Would you like for me to go ahead and proceed?</t>
  </si>
  <si>
    <t>Okay great, thank you. Now, a lot of people are getting new windows to increase their home's value, improve their energy efficiency, or even to combat outside noise. What would be your main reason for wanting new windows?</t>
  </si>
  <si>
    <t>New Construction</t>
  </si>
  <si>
    <t>Survey -New Construcion/Long</t>
  </si>
  <si>
    <t>Survey - New Constuction/Short</t>
  </si>
  <si>
    <t>New Construction- Repeat Short</t>
  </si>
  <si>
    <t>New Construction-Clarification/ Repeat Long</t>
  </si>
  <si>
    <t>Okay, well the reason we ask if your home is currently being built is because our partners do not install windows in new constructions. So is your home currenlty being built?</t>
  </si>
  <si>
    <t>Is your home currently being built?</t>
  </si>
  <si>
    <t>So by providing just a few pieces of information we can tell you very quickly if new windows would be a good fit or not and then you can 
decide from there, okay?</t>
  </si>
  <si>
    <t>Well the minimum qualifications do vary a bit by area, but basically I just have a few general questions. Now if you do qualify for the 
free consultation then we'll pass your information on to a windows company that will call you back within about 24 hrs and they'll give you all the details that you’ll need to know to decide for yourself if getting new windows is going to be a good fit for you or not, okay?</t>
  </si>
  <si>
    <t>Oh, so let me ask you – would you be interested in learning more about how new windows could be a benift for you</t>
  </si>
  <si>
    <t>All we need to do is confirm that you meet the requirements and that you would be a good fit for new windows. It's only going to take me a minute, okay?</t>
  </si>
  <si>
    <t>No problem. I understand. I did want to let you know that there is absolutely no obligation to you. All we’re looking to do is to set up a windows consultation, which again is absolutely free and requires no commitment; once you have the information, then you'll have all the details you'd need to make an informed decision, okay?</t>
  </si>
  <si>
    <t>Well, I'm just calling about a request for some information about windows, but it's nothing urgent. When would be a better time to call back?</t>
  </si>
  <si>
    <t xml:space="preserve">Oh, this is actually just a quick follow-up from an online request that they made for information about getting some help with their windows. It's actually really nothing urgent and we can just try back at another time. Thanks so much for your time today. Bye-bye. </t>
  </si>
  <si>
    <t>Oh, I was just saying  a lot of people are getting new windows to increase their home's value, improve their energy efficiency, or even to combat outside noise. What would be your main reason for wanting new windows?</t>
  </si>
  <si>
    <t>Okay, and what would be your main reason for wanting new windows?</t>
  </si>
  <si>
    <t>Benefits - Mobile Home/Log</t>
  </si>
  <si>
    <t>I was just saying whether you are looking to replace your windows for an affordable price or you want to upgrade or become more energy efficient now is the time to get a free quote. Now, I just need to ask a few quick questions, and this will only take a moment of your time, okay?</t>
  </si>
  <si>
    <t>Now, I just need to ask a few quick questions, and this will only take a moment of your time, okay?</t>
  </si>
  <si>
    <t>Yes -</t>
  </si>
  <si>
    <t>HOW DOES WINDOW REPLACEMENT WORK?</t>
  </si>
  <si>
    <t xml:space="preserve">You know that's actually a great question.  It depends on window frame material and glass type, among other factors. </t>
  </si>
  <si>
    <t>"Alright, so here’s what’s going to happen.  You qualify for a free consultation.  The next step is to see if new windows would be a good fit for you.  You might as well proceed and get the details and then you could at least make an informed decision.  Once again, the consultation is free and requires no commitment.  As part of the process, a specialist will need to call you back and ask you some additional questions, okay?"</t>
  </si>
  <si>
    <t>You know, I’m not a windows specialist myself so I would hate to give you any incorrect information. What I can do is pass you over to a 
specialist and they’ll be able to go over all the information with you, okay?</t>
  </si>
  <si>
    <r>
      <t xml:space="preserve">Recap </t>
    </r>
    <r>
      <rPr>
        <sz val="11"/>
        <color rgb="FFFF0000"/>
        <rFont val="Calibri"/>
        <family val="2"/>
        <scheme val="minor"/>
      </rPr>
      <t>NO</t>
    </r>
    <r>
      <rPr>
        <sz val="11"/>
        <color theme="1"/>
        <rFont val="Calibri"/>
        <family val="2"/>
        <scheme val="minor"/>
      </rPr>
      <t xml:space="preserve"> - Full</t>
    </r>
  </si>
  <si>
    <t xml:space="preserve">Alright, now unfortunately your home type would not qualify for this. I'm so sorry about that.  Thanks so much for your
 time and have a great day. Bye-bye."  </t>
  </si>
  <si>
    <t>Survey -Not Qualify</t>
  </si>
  <si>
    <t>Yes New Construction</t>
  </si>
  <si>
    <t>TCPA - Long Repeat</t>
  </si>
  <si>
    <t>Now just so you know these local installer partners may use an automatic dialing system, just like what I’ve used today to contact you at this number, even if it's a wireless number. And then, with your permission, they’ll call you even if you're listed on any State, Federal, or Corporate Do Not Call list. Again, you’re under absolutely no obligation at all, and not required to agree to this order to purchase windows. Is that Okay?</t>
  </si>
  <si>
    <t>I was just saying that our partners may use an automatic dialing system, just like what I’ve used today to contact you at this number even if it happens to be on a Do Not Call List. Again you're under absolutely no obligation at all and not required to agree to this order to purchase windows. So, do you give your permission for them to call you at this number?</t>
  </si>
  <si>
    <t>TCPA - Quick Repeat</t>
  </si>
  <si>
    <t>So as I stated before, these partners will attempt to contact you at this number even if you are on a Do Not Call List. Is that okay?”</t>
  </si>
  <si>
    <t>Windows Script</t>
  </si>
  <si>
    <t>Consultation [2]</t>
  </si>
  <si>
    <t>Verify Interest</t>
  </si>
  <si>
    <t>Oh, so let me ask you - would you be interested in learning more about how a window installation at your home could help save you  money?</t>
  </si>
  <si>
    <t>Well now keep in mind you really don't have anything to lose with a free consultation. It's certainly worth checking out and taking advantage of the opportunity to get new windows, so would you like to learn more?</t>
  </si>
  <si>
    <t>Matt</t>
  </si>
  <si>
    <t>So, it’s Matt, and that’s just spelled M-A-T-T  Did you get that?</t>
  </si>
  <si>
    <t>Now, just so you’re aware this call will be monitored, or recorded, for quality assurance purposes, uhm, and actually the reason we're calling today is to follow up on your request for more information about replacing your home windows. Whether you are looking to replace your windows for an affordable price or you want to upgrade or become more energy efficient now is the time to get a free quote. I just need to ask a few quick questions, and it will take just a minute of your time, okay?</t>
  </si>
  <si>
    <t xml:space="preserve">Ok, sounds like you have a good idea already of what new windows can do for you. I just have a few qualifying questions and first do you own your own home?
</t>
  </si>
  <si>
    <t>Survey Positive Response - Own home</t>
  </si>
  <si>
    <t>Positive - Own Home</t>
  </si>
  <si>
    <t>Survey Needs Benefits - Own home</t>
  </si>
  <si>
    <t xml:space="preserve">Did you know Modern windows offer better insulation, which makes it easier for your heating and cooling system to keep your home at the perfect temperature. One of the biggest benefits of getting new windows installed in your home is that you’ll be improving your home’s energy efficiency. Also, by replacing your home's windows you'll be increasing the saftey in your home. Another added benifit of Window replacement is it  increases your homes resale value. I just have a few qualifying questionsand first do you own your own home?
</t>
  </si>
  <si>
    <t xml:space="preserve">I hear ya. Let me just quickly let you know how I think we can benifit you. Modern windows offer better insulation, which makes it easier for your heating and cooling system to keep your home at the perfect temperature. One of the biggest benefits of getting new windows installed in your home is that you’ll be improving your home’s energy efficiency. Also, by replacing your home's windows you'll be increasing the saftey in your home. Window replacement is listed as a top home improvement project that increases a homes resale value. I just have a few qualifying questions and first do you own your own home?
</t>
  </si>
  <si>
    <t>Overcome Negative Reponse - Own Home</t>
  </si>
  <si>
    <t>Survey Overcome Negative  - Own Home</t>
  </si>
  <si>
    <t>Own Home? - Repeat Long</t>
  </si>
  <si>
    <t>Survey - Own Home/ Home Long RP</t>
  </si>
  <si>
    <t>Survey - Own Home/ Home Short RP</t>
  </si>
  <si>
    <t>Own Home- Repeat Short</t>
  </si>
  <si>
    <t>One of the biggest benefits of getting new windows installed in your home is that you’ll be improving your home’s energy efficiency. Also, by replacing your home's windows you'll be increasing the saftey in your home. Window replacement is listed as a top home improvement project that increases a homes resale value. I just have a few qualifying questions and first do  you own your own home?</t>
  </si>
  <si>
    <t>Oh, I was just asking… if you own your home</t>
  </si>
  <si>
    <t>Wanting Windows? - Long Repeat</t>
  </si>
  <si>
    <t>Wanting Windows - Short Repeat</t>
  </si>
  <si>
    <t>Survey -(Don’t Own)Not Qualify</t>
  </si>
  <si>
    <t>No-Don’t Own Home</t>
  </si>
  <si>
    <t>Yes- Mobile Home Log Cabin?</t>
  </si>
  <si>
    <t>Survey -Yes-Mobile Home Log?</t>
  </si>
  <si>
    <t xml:space="preserve"> Is your home a log cabin or a mobile home</t>
  </si>
  <si>
    <t>Survey -(Answer Yes)Not Qualify</t>
  </si>
  <si>
    <t>Survey Answer Yes Log Cabin Mobile Home</t>
  </si>
  <si>
    <t>Alright great, thank you! Now, next question for you, is your home currently being built?</t>
  </si>
  <si>
    <t>Survey (Answer No)- New Constuction</t>
  </si>
  <si>
    <t>Alright, so here's what's going to happen. You do qualify for that free windows quote for your home so congratulations on that. The next step is to proceed um and get the details that way you can make an informed decision.. I’m excited for what we’ll be able to do to help you here. Now, the company that will be calling you is ....</t>
  </si>
  <si>
    <t>Yeah, and the companies that will be calling you would be ….</t>
  </si>
  <si>
    <t>Okay, uhm, I'm gonna go ahead and actually submit your request for a windows quote. And based on your location, the 
company that will be calling you would be ….</t>
  </si>
  <si>
    <t>So based on your location, the company that will be calling you would be …</t>
  </si>
  <si>
    <t>info@superiorhomewindows.com</t>
  </si>
  <si>
    <t>superiorhomewindows.com</t>
  </si>
  <si>
    <t>My name is Matt</t>
  </si>
  <si>
    <t>It's Matt Green</t>
  </si>
  <si>
    <t>It's M-A-T-T    G-R-E-E-N</t>
  </si>
  <si>
    <t>Its www. Superior</t>
  </si>
  <si>
    <t>home project</t>
  </si>
  <si>
    <t>.com</t>
  </si>
  <si>
    <t>So, the specialist will come by your house for about a 30-60 minute consultation to discuss all the window options available to you okay?</t>
  </si>
  <si>
    <t>The cost will vary depending on the size and types of the windows that you decide to go with. However, one thing to remember is that the cost of windows is much cheaper today than it has been in the past....</t>
  </si>
  <si>
    <t>Again, I would hate to give you any misleading or incorrect information. There really are so many variables that would affect cost like window l that I just can't give you an estimate now. That's why we want to send a specialist out. That specialist will be able to answer any of those questions for you, okay?</t>
  </si>
  <si>
    <t>So typically on an average home, a homeowner could see savings between $205 per year when replacing single windows but it all depends on the numbers of windows you replace and where you live...</t>
  </si>
  <si>
    <t>Time To Install</t>
  </si>
  <si>
    <t>You know it's actually surprisingly pretty fast. Once all the paper work and details are worked out it can be completed within 2 to 7 days...</t>
  </si>
  <si>
    <t>Government Assitance</t>
  </si>
  <si>
    <t>This program is nothing to do with the ads you may have seen for a government assistance program. But there are still several great options available for you to upgrade your windows...</t>
  </si>
  <si>
    <t>It is Superior  home  windows .com</t>
  </si>
  <si>
    <t xml:space="preserve">And again this is Matt and I'm calling on behalf of Superior Home in regards to an online request for information about window replacement. </t>
  </si>
  <si>
    <t>Its Superior home</t>
  </si>
  <si>
    <t>Its Spelled S-U-P-E-R-I-O-R     ...         H-O-M-E</t>
  </si>
  <si>
    <t>You know it's actually surprisingly pretty fast. Once all the paper work and details are worked out it can be completed within 2 to 7 days…</t>
  </si>
  <si>
    <t>LeafTel</t>
  </si>
  <si>
    <t>So it’s LEAFTEL, and that’s spelled, L-E-A-F-T-E-L, Did you get that?</t>
  </si>
  <si>
    <t xml:space="preserve">It's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</si>
</sst>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lt;=9999999]###\-####;\(###\)\ ###\-####"/>
  </numFmts>
  <fonts count="16" x14ac:knownFonts="1">
    <font>
      <sz val="11"/>
      <color theme="1"/>
      <name val="Calibri"/>
      <family val="2"/>
      <scheme val="minor"/>
    </font>
    <font>
      <b/>
      <sz val="11"/>
      <color theme="1"/>
      <name val="Calibri"/>
      <family val="2"/>
      <scheme val="minor"/>
    </font>
    <font>
      <b/>
      <u/>
      <sz val="11"/>
      <color theme="1"/>
      <name val="Calibri"/>
      <family val="2"/>
      <scheme val="minor"/>
    </font>
    <font>
      <sz val="11"/>
      <color theme="4"/>
      <name val="Calibri"/>
      <family val="2"/>
      <scheme val="minor"/>
    </font>
    <font>
      <u/>
      <sz val="11"/>
      <color theme="10"/>
      <name val="Calibri"/>
      <family val="2"/>
      <scheme val="minor"/>
    </font>
    <font>
      <sz val="11"/>
      <color theme="9"/>
      <name val="Calibri"/>
      <family val="2"/>
      <scheme val="minor"/>
    </font>
    <font>
      <sz val="11"/>
      <name val="Calibri"/>
      <family val="2"/>
      <scheme val="minor"/>
    </font>
    <font>
      <b/>
      <sz val="11"/>
      <color theme="4"/>
      <name val="Calibri"/>
      <family val="2"/>
      <scheme val="minor"/>
    </font>
    <font>
      <sz val="11"/>
      <color rgb="FFFF0000"/>
      <name val="Calibri"/>
      <family val="2"/>
      <scheme val="minor"/>
    </font>
    <font>
      <sz val="11"/>
      <color theme="1"/>
      <name val="Calibri Light"/>
      <family val="2"/>
      <scheme val="major"/>
    </font>
    <font>
      <b/>
      <sz val="11"/>
      <color theme="1"/>
      <name val="Calibri"/>
      <family val="2"/>
    </font>
    <font>
      <sz val="11"/>
      <color theme="1"/>
      <name val="Calibri"/>
      <family val="2"/>
    </font>
    <font>
      <b/>
      <sz val="10"/>
      <color rgb="FFFF0000"/>
      <name val="Calibri"/>
      <family val="2"/>
      <scheme val="minor"/>
    </font>
    <font>
      <b/>
      <sz val="11"/>
      <name val="Calibri"/>
      <family val="2"/>
      <scheme val="minor"/>
    </font>
    <font>
      <sz val="11"/>
      <color rgb="FF000000"/>
      <name val="Calibri"/>
      <family val="2"/>
      <scheme val="minor"/>
    </font>
    <font>
      <sz val="11"/>
      <color rgb="FF000000"/>
      <name val="Aptos"/>
      <family val="2"/>
    </font>
  </fonts>
  <fills count="5">
    <fill>
      <patternFill patternType="none"/>
    </fill>
    <fill>
      <patternFill patternType="gray125"/>
    </fill>
    <fill>
      <patternFill patternType="solid">
        <fgColor theme="4" tint="0.39997558519241921"/>
        <bgColor indexed="64"/>
      </patternFill>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xf numFmtId="0" fontId="4" fillId="0" borderId="0" applyNumberFormat="0" applyFill="0" applyBorder="0" applyAlignment="0" applyProtection="0"/>
  </cellStyleXfs>
  <cellXfs count="52">
    <xf numFmtId="0" fontId="0" fillId="0" borderId="0" xfId="0"/>
    <xf numFmtId="0" fontId="1" fillId="0" borderId="0" xfId="0" applyFont="1"/>
    <xf numFmtId="0" fontId="0" fillId="0" borderId="0" xfId="0" applyAlignment="1">
      <alignment wrapText="1"/>
    </xf>
    <xf numFmtId="0" fontId="0" fillId="0" borderId="0" xfId="0" applyAlignment="1">
      <alignment horizontal="left" wrapText="1"/>
    </xf>
    <xf numFmtId="0" fontId="0" fillId="0" borderId="0" xfId="0" applyAlignment="1">
      <alignment horizontal="left" indent="1"/>
    </xf>
    <xf numFmtId="0" fontId="0" fillId="0" borderId="1" xfId="0" applyBorder="1" applyAlignment="1">
      <alignment horizontal="left" indent="1"/>
    </xf>
    <xf numFmtId="0" fontId="1" fillId="0" borderId="0" xfId="0" applyFont="1" applyAlignment="1">
      <alignment horizontal="left" indent="1"/>
    </xf>
    <xf numFmtId="0" fontId="0" fillId="0" borderId="0" xfId="0" quotePrefix="1" applyAlignment="1">
      <alignment horizontal="left" indent="1"/>
    </xf>
    <xf numFmtId="0" fontId="1" fillId="0" borderId="0" xfId="0" applyFont="1" applyAlignment="1">
      <alignment horizontal="left" wrapText="1"/>
    </xf>
    <xf numFmtId="0" fontId="2" fillId="0" borderId="0" xfId="0" applyFont="1"/>
    <xf numFmtId="0" fontId="0" fillId="0" borderId="0" xfId="0" applyAlignment="1">
      <alignment horizontal="left"/>
    </xf>
    <xf numFmtId="165" fontId="0" fillId="0" borderId="0" xfId="0" applyNumberFormat="1" applyAlignment="1">
      <alignment horizontal="left" indent="1"/>
    </xf>
    <xf numFmtId="0" fontId="3" fillId="0" borderId="0" xfId="0" applyFont="1"/>
    <xf numFmtId="0" fontId="4" fillId="0" borderId="0" xfId="1" applyAlignment="1">
      <alignment horizontal="left" indent="1"/>
    </xf>
    <xf numFmtId="0" fontId="3" fillId="0" borderId="0" xfId="0" applyFont="1" applyAlignment="1">
      <alignment vertical="top" wrapText="1"/>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horizontal="left" indent="1"/>
    </xf>
    <xf numFmtId="0" fontId="5" fillId="0" borderId="0" xfId="0" applyFont="1"/>
    <xf numFmtId="0" fontId="3" fillId="0" borderId="0" xfId="0" applyFont="1" applyAlignment="1">
      <alignment horizontal="left"/>
    </xf>
    <xf numFmtId="0" fontId="1" fillId="0" borderId="0" xfId="0" applyFont="1" applyAlignment="1">
      <alignment horizontal="left"/>
    </xf>
    <xf numFmtId="0" fontId="2" fillId="0" borderId="0" xfId="0" applyFont="1" applyAlignment="1">
      <alignment horizontal="left"/>
    </xf>
    <xf numFmtId="0" fontId="7" fillId="0" borderId="0" xfId="0" applyFont="1" applyAlignment="1">
      <alignment horizontal="left"/>
    </xf>
    <xf numFmtId="0" fontId="1" fillId="0" borderId="0" xfId="0" applyFont="1" applyAlignment="1">
      <alignment wrapText="1"/>
    </xf>
    <xf numFmtId="0" fontId="3" fillId="0" borderId="0" xfId="0" applyFont="1" applyAlignment="1">
      <alignment horizontal="left" vertical="center"/>
    </xf>
    <xf numFmtId="0" fontId="0" fillId="4" borderId="0" xfId="0" applyFill="1"/>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justify" vertical="center"/>
    </xf>
    <xf numFmtId="0" fontId="0" fillId="4" borderId="0" xfId="0" applyFill="1" applyAlignment="1">
      <alignment horizontal="left"/>
    </xf>
    <xf numFmtId="0" fontId="14" fillId="4" borderId="0" xfId="0" applyFont="1" applyFill="1" applyAlignment="1">
      <alignment horizontal="left" vertical="center" wrapText="1"/>
    </xf>
    <xf numFmtId="164" fontId="0" fillId="4" borderId="0" xfId="0" applyNumberFormat="1" applyFill="1" applyAlignment="1">
      <alignment horizontal="left"/>
    </xf>
    <xf numFmtId="0" fontId="1" fillId="4" borderId="0" xfId="0" applyFont="1" applyFill="1" applyAlignment="1">
      <alignment horizontal="left"/>
    </xf>
    <xf numFmtId="0" fontId="1" fillId="4" borderId="0" xfId="0" applyFont="1" applyFill="1"/>
    <xf numFmtId="0" fontId="0" fillId="4" borderId="0" xfId="0" applyFill="1" applyAlignment="1">
      <alignment horizontal="left" wrapText="1"/>
    </xf>
    <xf numFmtId="0" fontId="6" fillId="4" borderId="0" xfId="0" applyFont="1" applyFill="1" applyAlignment="1">
      <alignment horizontal="left"/>
    </xf>
    <xf numFmtId="0" fontId="9"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xf>
    <xf numFmtId="0" fontId="1" fillId="0" borderId="0" xfId="0" applyFont="1" applyAlignment="1">
      <alignment horizontal="left" wrapText="1"/>
    </xf>
    <xf numFmtId="0" fontId="6" fillId="0" borderId="0" xfId="0" applyFont="1" applyAlignment="1">
      <alignment horizontal="left" wrapText="1"/>
    </xf>
    <xf numFmtId="0" fontId="1" fillId="3" borderId="0" xfId="0" applyFont="1" applyFill="1" applyAlignment="1">
      <alignment horizontal="center"/>
    </xf>
    <xf numFmtId="0" fontId="2" fillId="2" borderId="0" xfId="0" applyFont="1" applyFill="1" applyAlignment="1">
      <alignment horizontal="center"/>
    </xf>
    <xf numFmtId="0" fontId="6" fillId="4" borderId="0" xfId="0" applyFont="1" applyFill="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0" fillId="4" borderId="0" xfId="0" applyFill="1" applyAlignment="1">
      <alignment horizontal="left" wrapText="1"/>
    </xf>
    <xf numFmtId="0" fontId="0" fillId="4" borderId="0" xfId="0" applyFill="1" applyAlignment="1">
      <alignment horizontal="left"/>
    </xf>
    <xf numFmtId="0" fontId="13" fillId="4" borderId="0" xfId="0" applyFont="1" applyFill="1" applyAlignment="1">
      <alignment horizontal="left" wrapText="1"/>
    </xf>
    <xf numFmtId="0" fontId="0" fillId="4" borderId="0" xfId="0" applyFill="1" applyAlignment="1">
      <alignment horizontal="left" vertical="top" wrapText="1"/>
    </xf>
    <xf numFmtId="0" fontId="0" fillId="0" borderId="0" xfId="0" applyAlignment="1">
      <alignment horizontal="left" vertical="top" wrapText="1"/>
    </xf>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fo@the-solar-project.com" TargetMode="External"/><Relationship Id="rId1" Type="http://schemas.openxmlformats.org/officeDocument/2006/relationships/hyperlink" Target="mailto:info@superiorhomewindo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25F6D-5372-487E-B96A-CC96F3A3D915}">
  <dimension ref="A2:Q343"/>
  <sheetViews>
    <sheetView showGridLines="0" tabSelected="1" workbookViewId="0">
      <selection activeCell="C1" sqref="C1"/>
    </sheetView>
  </sheetViews>
  <sheetFormatPr defaultRowHeight="14.4" x14ac:dyDescent="0.3"/>
  <cols>
    <col min="1" max="1" width="44" style="20" bestFit="1" customWidth="1"/>
    <col min="2" max="2" width="17.109375" customWidth="1"/>
    <col min="3" max="3" width="109.5546875" customWidth="1"/>
    <col min="4" max="4" width="7.5546875" customWidth="1"/>
    <col min="5" max="5" width="9.109375" customWidth="1"/>
    <col min="6" max="6" width="24" style="4" customWidth="1"/>
    <col min="7" max="7" width="19.33203125" style="4" customWidth="1"/>
    <col min="8" max="8" width="6" customWidth="1"/>
    <col min="9" max="9" width="18" customWidth="1"/>
    <col min="10" max="10" width="6.109375" customWidth="1"/>
    <col min="11" max="17" width="9.109375" hidden="1" customWidth="1"/>
  </cols>
  <sheetData>
    <row r="2" spans="1:10" x14ac:dyDescent="0.3">
      <c r="A2" s="42" t="s">
        <v>200</v>
      </c>
      <c r="B2" s="42"/>
      <c r="C2" s="42"/>
    </row>
    <row r="3" spans="1:10" x14ac:dyDescent="0.3">
      <c r="I3" s="6" t="s">
        <v>11</v>
      </c>
      <c r="J3" s="4"/>
    </row>
    <row r="4" spans="1:10" x14ac:dyDescent="0.3">
      <c r="A4" s="41" t="s">
        <v>37</v>
      </c>
      <c r="B4" s="41"/>
      <c r="C4" s="41"/>
      <c r="F4" s="6" t="s">
        <v>92</v>
      </c>
      <c r="G4" s="4" t="s">
        <v>205</v>
      </c>
      <c r="I4" s="6"/>
      <c r="J4" s="4"/>
    </row>
    <row r="5" spans="1:10" x14ac:dyDescent="0.3">
      <c r="F5" s="6" t="s">
        <v>143</v>
      </c>
      <c r="G5" s="4" t="s">
        <v>151</v>
      </c>
      <c r="I5" s="5" t="s">
        <v>2</v>
      </c>
      <c r="J5" s="5" t="s">
        <v>17</v>
      </c>
    </row>
    <row r="6" spans="1:10" x14ac:dyDescent="0.3">
      <c r="A6" s="31"/>
      <c r="B6" s="1"/>
      <c r="F6" s="6" t="s">
        <v>89</v>
      </c>
      <c r="G6" s="51" t="s">
        <v>258</v>
      </c>
      <c r="I6" s="5" t="s">
        <v>3</v>
      </c>
      <c r="J6" s="5" t="s">
        <v>6</v>
      </c>
    </row>
    <row r="7" spans="1:10" x14ac:dyDescent="0.3">
      <c r="A7" s="32"/>
      <c r="F7" s="6" t="s">
        <v>88</v>
      </c>
      <c r="G7" s="4" t="s">
        <v>90</v>
      </c>
      <c r="I7" s="5" t="s">
        <v>4</v>
      </c>
      <c r="J7" s="5" t="s">
        <v>7</v>
      </c>
    </row>
    <row r="8" spans="1:10" x14ac:dyDescent="0.3">
      <c r="A8" s="32"/>
      <c r="F8" s="6" t="s">
        <v>81</v>
      </c>
      <c r="G8" s="11"/>
      <c r="I8" s="5" t="s">
        <v>5</v>
      </c>
      <c r="J8" s="5" t="s">
        <v>10</v>
      </c>
    </row>
    <row r="9" spans="1:10" x14ac:dyDescent="0.3">
      <c r="A9" s="29"/>
      <c r="C9" s="1"/>
      <c r="F9" s="6" t="s">
        <v>82</v>
      </c>
      <c r="G9" s="11"/>
      <c r="I9" s="5" t="s">
        <v>12</v>
      </c>
      <c r="J9" s="5" t="s">
        <v>9</v>
      </c>
    </row>
    <row r="10" spans="1:10" x14ac:dyDescent="0.3">
      <c r="A10" s="10"/>
      <c r="F10" s="6" t="s">
        <v>91</v>
      </c>
      <c r="G10" s="13" t="s">
        <v>237</v>
      </c>
    </row>
    <row r="11" spans="1:10" x14ac:dyDescent="0.3">
      <c r="A11" s="10"/>
      <c r="F11" s="6" t="s">
        <v>144</v>
      </c>
      <c r="G11" s="13" t="s">
        <v>238</v>
      </c>
    </row>
    <row r="12" spans="1:10" x14ac:dyDescent="0.3">
      <c r="A12" s="10" t="s">
        <v>121</v>
      </c>
      <c r="C12" s="1" t="s">
        <v>39</v>
      </c>
    </row>
    <row r="13" spans="1:10" ht="30" customHeight="1" x14ac:dyDescent="0.3">
      <c r="A13" s="10"/>
      <c r="C13" s="14" t="str">
        <f>"This is, "&amp;G4&amp;", calling on behalf of  "&amp;G5&amp;". It's really nothing urgent though and we'll just plan on calling
 back at another time, but thank you so much for your time and I hope you have a great day. Bye-bye."</f>
        <v>This is, Matt, calling on behalf of  Superior Home. It's really nothing urgent though and we'll just plan on calling
 back at another time, but thank you so much for your time and I hope you have a great day. Bye-bye.</v>
      </c>
      <c r="F13" s="7"/>
    </row>
    <row r="14" spans="1:10" x14ac:dyDescent="0.3">
      <c r="A14" s="10"/>
    </row>
    <row r="15" spans="1:10" x14ac:dyDescent="0.3">
      <c r="A15" s="10" t="s">
        <v>122</v>
      </c>
      <c r="C15" s="1" t="s">
        <v>38</v>
      </c>
    </row>
    <row r="16" spans="1:10" ht="60" customHeight="1" x14ac:dyDescent="0.3">
      <c r="A16" s="10"/>
      <c r="C16" s="2" t="s">
        <v>180</v>
      </c>
    </row>
    <row r="17" spans="1:3" x14ac:dyDescent="0.3">
      <c r="A17" s="10"/>
    </row>
    <row r="18" spans="1:3" x14ac:dyDescent="0.3">
      <c r="A18" s="10" t="s">
        <v>123</v>
      </c>
      <c r="C18" s="1" t="s">
        <v>40</v>
      </c>
    </row>
    <row r="19" spans="1:3" ht="29.1" customHeight="1" x14ac:dyDescent="0.3">
      <c r="A19" s="10"/>
      <c r="C19" s="2" t="s">
        <v>179</v>
      </c>
    </row>
    <row r="20" spans="1:3" x14ac:dyDescent="0.3">
      <c r="A20" s="10"/>
    </row>
    <row r="21" spans="1:3" x14ac:dyDescent="0.3">
      <c r="A21" s="29"/>
      <c r="C21" s="1"/>
    </row>
    <row r="24" spans="1:3" x14ac:dyDescent="0.3">
      <c r="A24" s="41" t="s">
        <v>0</v>
      </c>
      <c r="B24" s="41"/>
      <c r="C24" s="41"/>
    </row>
    <row r="26" spans="1:3" x14ac:dyDescent="0.3">
      <c r="A26" s="10" t="s">
        <v>124</v>
      </c>
      <c r="B26" s="1" t="s">
        <v>42</v>
      </c>
    </row>
    <row r="27" spans="1:3" x14ac:dyDescent="0.3">
      <c r="A27" s="10"/>
      <c r="B27" s="12" t="str">
        <f>"Hi, this is, "&amp;G4&amp;", calling on behalf of the "&amp;G5&amp;". How are you today?"</f>
        <v>Hi, this is, Matt, calling on behalf of the Superior Home. How are you today?</v>
      </c>
    </row>
    <row r="28" spans="1:3" x14ac:dyDescent="0.3">
      <c r="A28" s="10"/>
    </row>
    <row r="29" spans="1:3" x14ac:dyDescent="0.3">
      <c r="A29" s="29" t="s">
        <v>125</v>
      </c>
      <c r="B29" s="1" t="s">
        <v>43</v>
      </c>
    </row>
    <row r="30" spans="1:3" x14ac:dyDescent="0.3">
      <c r="A30" s="10"/>
      <c r="B30" s="12" t="str">
        <f>"Hi, this is, "&amp;G4&amp;", from "&amp;G6&amp;" at, "&amp;LEFT(G8,3)&amp;"-"&amp;MID(G8,4,3)&amp;"-"&amp;RIGHT(G8,4)&amp;", calling on behalf of the "&amp;G5&amp;". How are you today?"</f>
        <v>Hi, this is, Matt, from LeafTel at, --, calling on behalf of the Superior Home. How are you today?</v>
      </c>
    </row>
    <row r="31" spans="1:3" x14ac:dyDescent="0.3">
      <c r="A31" s="10"/>
    </row>
    <row r="32" spans="1:3" x14ac:dyDescent="0.3">
      <c r="A32" s="10" t="s">
        <v>145</v>
      </c>
      <c r="B32" s="1" t="s">
        <v>44</v>
      </c>
    </row>
    <row r="33" spans="1:3" x14ac:dyDescent="0.3">
      <c r="B33" s="12" t="str">
        <f>"Oh, I am with the "&amp;G5&amp;", and I am actually just calling back…"</f>
        <v>Oh, I am with the Superior Home, and I am actually just calling back…</v>
      </c>
    </row>
    <row r="35" spans="1:3" x14ac:dyDescent="0.3">
      <c r="A35" s="29"/>
      <c r="B35" s="25"/>
      <c r="C35" s="33"/>
    </row>
    <row r="36" spans="1:3" x14ac:dyDescent="0.3">
      <c r="A36" s="29"/>
      <c r="B36" s="25"/>
      <c r="C36" s="25"/>
    </row>
    <row r="37" spans="1:3" x14ac:dyDescent="0.3">
      <c r="A37" s="29"/>
      <c r="B37" s="25"/>
      <c r="C37" s="25"/>
    </row>
    <row r="38" spans="1:3" x14ac:dyDescent="0.3">
      <c r="A38" s="29"/>
      <c r="B38" s="25"/>
      <c r="C38" s="33"/>
    </row>
    <row r="39" spans="1:3" x14ac:dyDescent="0.3">
      <c r="A39" s="29"/>
      <c r="B39" s="25"/>
      <c r="C39" s="25"/>
    </row>
    <row r="40" spans="1:3" x14ac:dyDescent="0.3">
      <c r="A40" s="29"/>
      <c r="B40" s="25"/>
      <c r="C40" s="25"/>
    </row>
    <row r="41" spans="1:3" x14ac:dyDescent="0.3">
      <c r="A41" s="29"/>
      <c r="B41" s="25"/>
      <c r="C41" s="33"/>
    </row>
    <row r="42" spans="1:3" x14ac:dyDescent="0.3">
      <c r="A42" s="29"/>
      <c r="B42" s="25"/>
      <c r="C42" s="25"/>
    </row>
    <row r="43" spans="1:3" x14ac:dyDescent="0.3">
      <c r="A43" s="29"/>
      <c r="B43" s="25"/>
      <c r="C43" s="33"/>
    </row>
    <row r="44" spans="1:3" x14ac:dyDescent="0.3">
      <c r="A44" s="29"/>
      <c r="B44" s="25"/>
      <c r="C44" s="33"/>
    </row>
    <row r="45" spans="1:3" x14ac:dyDescent="0.3">
      <c r="A45" s="32"/>
      <c r="B45" s="25"/>
      <c r="C45" s="25"/>
    </row>
    <row r="47" spans="1:3" x14ac:dyDescent="0.3">
      <c r="A47" s="41" t="s">
        <v>1</v>
      </c>
      <c r="B47" s="41"/>
      <c r="C47" s="41"/>
    </row>
    <row r="49" spans="1:17" x14ac:dyDescent="0.3">
      <c r="A49" s="10" t="s">
        <v>126</v>
      </c>
      <c r="B49" s="1" t="s">
        <v>1</v>
      </c>
    </row>
    <row r="50" spans="1:17" ht="64.5" customHeight="1" x14ac:dyDescent="0.3">
      <c r="B50" s="37" t="s">
        <v>207</v>
      </c>
      <c r="C50" s="37"/>
    </row>
    <row r="51" spans="1:17" ht="15" customHeight="1" x14ac:dyDescent="0.3">
      <c r="B51" s="3"/>
      <c r="C51" s="3"/>
    </row>
    <row r="52" spans="1:17" ht="15" customHeight="1" x14ac:dyDescent="0.3">
      <c r="A52" s="10" t="s">
        <v>127</v>
      </c>
      <c r="C52" s="8" t="s">
        <v>41</v>
      </c>
    </row>
    <row r="53" spans="1:17" ht="45" customHeight="1" x14ac:dyDescent="0.3">
      <c r="A53" s="10"/>
      <c r="C53" s="3" t="s">
        <v>184</v>
      </c>
    </row>
    <row r="54" spans="1:17" ht="15" customHeight="1" x14ac:dyDescent="0.3">
      <c r="A54" s="10"/>
      <c r="C54" s="3"/>
    </row>
    <row r="55" spans="1:17" ht="15" customHeight="1" x14ac:dyDescent="0.3">
      <c r="A55" s="10" t="s">
        <v>128</v>
      </c>
      <c r="C55" s="8" t="s">
        <v>136</v>
      </c>
    </row>
    <row r="56" spans="1:17" x14ac:dyDescent="0.3">
      <c r="B56" s="3"/>
      <c r="C56" s="3" t="s">
        <v>185</v>
      </c>
    </row>
    <row r="58" spans="1:17" x14ac:dyDescent="0.3">
      <c r="A58" s="41" t="s">
        <v>45</v>
      </c>
      <c r="B58" s="41"/>
      <c r="C58" s="41"/>
    </row>
    <row r="59" spans="1:17" x14ac:dyDescent="0.3">
      <c r="A59" s="21"/>
    </row>
    <row r="60" spans="1:17" x14ac:dyDescent="0.3">
      <c r="A60" s="10" t="s">
        <v>137</v>
      </c>
      <c r="B60" s="1" t="s">
        <v>186</v>
      </c>
      <c r="E60" s="1"/>
    </row>
    <row r="61" spans="1:17" ht="53.25" customHeight="1" x14ac:dyDescent="0.3">
      <c r="B61" s="36" t="s">
        <v>166</v>
      </c>
      <c r="C61" s="36"/>
      <c r="D61" s="36"/>
      <c r="E61" s="36"/>
      <c r="F61" s="36"/>
      <c r="G61" s="36"/>
      <c r="H61" s="36"/>
      <c r="I61" s="36"/>
      <c r="J61" s="36"/>
      <c r="K61" s="36"/>
      <c r="L61" s="36"/>
      <c r="M61" s="36"/>
      <c r="N61" s="36"/>
      <c r="O61" s="36"/>
      <c r="P61" s="36"/>
      <c r="Q61" s="36"/>
    </row>
    <row r="62" spans="1:17" ht="15" customHeight="1" x14ac:dyDescent="0.3">
      <c r="B62" s="3"/>
      <c r="C62" s="3"/>
    </row>
    <row r="63" spans="1:17" ht="15" customHeight="1" x14ac:dyDescent="0.3">
      <c r="A63" s="10" t="s">
        <v>129</v>
      </c>
      <c r="B63" s="39" t="s">
        <v>222</v>
      </c>
      <c r="C63" s="39"/>
    </row>
    <row r="64" spans="1:17" ht="30" customHeight="1" x14ac:dyDescent="0.3">
      <c r="A64" s="10"/>
      <c r="B64" s="37" t="s">
        <v>181</v>
      </c>
      <c r="C64" s="37"/>
    </row>
    <row r="65" spans="1:12" ht="15" customHeight="1" x14ac:dyDescent="0.3">
      <c r="A65" s="10"/>
      <c r="B65" s="8"/>
      <c r="C65" s="8"/>
    </row>
    <row r="66" spans="1:12" ht="15" customHeight="1" x14ac:dyDescent="0.3">
      <c r="A66" s="10" t="s">
        <v>130</v>
      </c>
      <c r="B66" s="39" t="s">
        <v>223</v>
      </c>
      <c r="C66" s="39"/>
    </row>
    <row r="67" spans="1:12" ht="15" customHeight="1" x14ac:dyDescent="0.3">
      <c r="B67" s="37" t="s">
        <v>182</v>
      </c>
      <c r="C67" s="37"/>
    </row>
    <row r="68" spans="1:12" ht="15" customHeight="1" x14ac:dyDescent="0.3">
      <c r="B68" s="3"/>
      <c r="C68" s="3"/>
    </row>
    <row r="69" spans="1:12" ht="15" customHeight="1" x14ac:dyDescent="0.3">
      <c r="A69" s="10" t="s">
        <v>209</v>
      </c>
      <c r="B69" s="39" t="s">
        <v>210</v>
      </c>
      <c r="C69" s="39"/>
    </row>
    <row r="70" spans="1:12" ht="45.75" customHeight="1" x14ac:dyDescent="0.3">
      <c r="B70" s="37" t="s">
        <v>208</v>
      </c>
      <c r="C70" s="37"/>
    </row>
    <row r="71" spans="1:12" ht="15" customHeight="1" x14ac:dyDescent="0.3">
      <c r="A71" s="10" t="s">
        <v>211</v>
      </c>
      <c r="B71" s="39" t="s">
        <v>183</v>
      </c>
      <c r="C71" s="39"/>
    </row>
    <row r="72" spans="1:12" ht="81.75" customHeight="1" x14ac:dyDescent="0.3">
      <c r="B72" s="37" t="s">
        <v>212</v>
      </c>
      <c r="C72" s="37"/>
    </row>
    <row r="73" spans="1:12" ht="15" customHeight="1" x14ac:dyDescent="0.3">
      <c r="B73" s="28"/>
      <c r="C73" s="3"/>
    </row>
    <row r="74" spans="1:12" ht="15" customHeight="1" x14ac:dyDescent="0.3">
      <c r="A74" s="10" t="s">
        <v>215</v>
      </c>
      <c r="B74" s="39" t="s">
        <v>214</v>
      </c>
      <c r="C74" s="39"/>
    </row>
    <row r="75" spans="1:12" ht="95.25" customHeight="1" x14ac:dyDescent="0.3">
      <c r="B75" s="37" t="s">
        <v>213</v>
      </c>
      <c r="C75" s="37"/>
    </row>
    <row r="77" spans="1:12" x14ac:dyDescent="0.3">
      <c r="A77" s="10" t="s">
        <v>217</v>
      </c>
      <c r="B77" s="1" t="s">
        <v>216</v>
      </c>
      <c r="E77" s="1"/>
      <c r="F77"/>
    </row>
    <row r="78" spans="1:12" ht="48" customHeight="1" x14ac:dyDescent="0.3">
      <c r="B78" s="37" t="s">
        <v>220</v>
      </c>
      <c r="C78" s="38"/>
      <c r="E78" s="37"/>
      <c r="F78" s="37"/>
      <c r="G78" s="37"/>
      <c r="H78" s="37"/>
      <c r="I78" s="37"/>
      <c r="J78" s="37"/>
      <c r="K78" s="37"/>
      <c r="L78" s="37"/>
    </row>
    <row r="80" spans="1:12" x14ac:dyDescent="0.3">
      <c r="A80" s="10" t="s">
        <v>218</v>
      </c>
      <c r="B80" s="1" t="s">
        <v>219</v>
      </c>
    </row>
    <row r="81" spans="1:12" ht="15" customHeight="1" x14ac:dyDescent="0.3">
      <c r="B81" s="37" t="s">
        <v>221</v>
      </c>
      <c r="C81" s="38"/>
    </row>
    <row r="82" spans="1:12" ht="15" customHeight="1" x14ac:dyDescent="0.3">
      <c r="B82" s="3"/>
      <c r="C82" s="10"/>
    </row>
    <row r="83" spans="1:12" ht="21.75" customHeight="1" x14ac:dyDescent="0.3">
      <c r="A83" s="10" t="s">
        <v>224</v>
      </c>
      <c r="B83" s="1" t="s">
        <v>225</v>
      </c>
      <c r="C83" s="10"/>
    </row>
    <row r="84" spans="1:12" ht="33.75" customHeight="1" x14ac:dyDescent="0.3">
      <c r="B84" s="37" t="s">
        <v>192</v>
      </c>
      <c r="C84" s="38"/>
    </row>
    <row r="85" spans="1:12" ht="15.75" customHeight="1" x14ac:dyDescent="0.3">
      <c r="B85" s="3"/>
      <c r="C85" s="10"/>
    </row>
    <row r="86" spans="1:12" ht="14.25" customHeight="1" x14ac:dyDescent="0.3">
      <c r="A86" s="10" t="s">
        <v>227</v>
      </c>
      <c r="B86" s="1" t="s">
        <v>226</v>
      </c>
      <c r="C86" s="10"/>
    </row>
    <row r="87" spans="1:12" ht="18.75" customHeight="1" x14ac:dyDescent="0.3">
      <c r="B87" s="37" t="s">
        <v>228</v>
      </c>
      <c r="C87" s="38"/>
    </row>
    <row r="88" spans="1:12" ht="18.75" customHeight="1" x14ac:dyDescent="0.3">
      <c r="B88" s="3"/>
      <c r="C88" s="10"/>
    </row>
    <row r="89" spans="1:12" ht="18.75" customHeight="1" x14ac:dyDescent="0.3">
      <c r="A89" s="10" t="s">
        <v>229</v>
      </c>
      <c r="B89" s="1" t="s">
        <v>230</v>
      </c>
      <c r="C89" s="10"/>
    </row>
    <row r="90" spans="1:12" ht="33.75" customHeight="1" x14ac:dyDescent="0.3">
      <c r="B90" s="37" t="s">
        <v>192</v>
      </c>
      <c r="C90" s="38"/>
    </row>
    <row r="91" spans="1:12" ht="12" customHeight="1" x14ac:dyDescent="0.3">
      <c r="B91" s="3"/>
      <c r="C91" s="10"/>
    </row>
    <row r="92" spans="1:12" ht="18.75" customHeight="1" x14ac:dyDescent="0.3">
      <c r="A92" s="10" t="s">
        <v>232</v>
      </c>
      <c r="B92" s="26" t="s">
        <v>167</v>
      </c>
      <c r="E92" s="1"/>
      <c r="F92"/>
    </row>
    <row r="93" spans="1:12" x14ac:dyDescent="0.3">
      <c r="B93" s="27" t="s">
        <v>231</v>
      </c>
      <c r="E93" s="37"/>
      <c r="F93" s="37"/>
      <c r="G93" s="37"/>
      <c r="H93" s="37"/>
      <c r="I93" s="37"/>
      <c r="J93" s="37"/>
      <c r="K93" s="37"/>
      <c r="L93" s="37"/>
    </row>
    <row r="95" spans="1:12" x14ac:dyDescent="0.3">
      <c r="A95" s="10" t="s">
        <v>168</v>
      </c>
      <c r="B95" s="1" t="s">
        <v>171</v>
      </c>
      <c r="E95" s="1"/>
    </row>
    <row r="96" spans="1:12" ht="37.5" customHeight="1" x14ac:dyDescent="0.3">
      <c r="B96" s="37" t="s">
        <v>172</v>
      </c>
      <c r="C96" s="37"/>
      <c r="E96" s="50"/>
      <c r="F96" s="50"/>
      <c r="G96" s="50"/>
      <c r="H96" s="50"/>
      <c r="I96" s="50"/>
      <c r="J96" s="50"/>
      <c r="K96" s="50"/>
      <c r="L96" s="50"/>
    </row>
    <row r="97" spans="1:3" ht="15" customHeight="1" x14ac:dyDescent="0.3">
      <c r="B97" s="3"/>
      <c r="C97" s="3"/>
    </row>
    <row r="98" spans="1:3" ht="15" customHeight="1" x14ac:dyDescent="0.3">
      <c r="A98" s="10" t="s">
        <v>169</v>
      </c>
      <c r="B98" s="23" t="s">
        <v>170</v>
      </c>
      <c r="C98" s="23"/>
    </row>
    <row r="99" spans="1:3" ht="13.5" customHeight="1" x14ac:dyDescent="0.3">
      <c r="B99" s="37" t="s">
        <v>173</v>
      </c>
      <c r="C99" s="37"/>
    </row>
    <row r="101" spans="1:3" x14ac:dyDescent="0.3">
      <c r="A101" s="10" t="s">
        <v>193</v>
      </c>
      <c r="B101" s="1" t="s">
        <v>194</v>
      </c>
      <c r="C101" s="10"/>
    </row>
    <row r="102" spans="1:3" ht="30" customHeight="1" x14ac:dyDescent="0.3">
      <c r="B102" s="37" t="s">
        <v>192</v>
      </c>
      <c r="C102" s="38"/>
    </row>
    <row r="104" spans="1:3" x14ac:dyDescent="0.3">
      <c r="A104" s="41" t="s">
        <v>14</v>
      </c>
      <c r="B104" s="41"/>
      <c r="C104" s="41"/>
    </row>
    <row r="106" spans="1:3" x14ac:dyDescent="0.3">
      <c r="A106" s="29" t="s">
        <v>191</v>
      </c>
      <c r="B106" s="1" t="s">
        <v>13</v>
      </c>
    </row>
    <row r="107" spans="1:3" ht="53.25" customHeight="1" x14ac:dyDescent="0.3">
      <c r="B107" s="37" t="s">
        <v>233</v>
      </c>
      <c r="C107" s="38"/>
    </row>
    <row r="109" spans="1:3" x14ac:dyDescent="0.3">
      <c r="A109" s="29" t="s">
        <v>131</v>
      </c>
      <c r="B109" s="1" t="s">
        <v>50</v>
      </c>
    </row>
    <row r="110" spans="1:3" ht="30" customHeight="1" x14ac:dyDescent="0.3">
      <c r="B110" s="37" t="s">
        <v>235</v>
      </c>
      <c r="C110" s="38"/>
    </row>
    <row r="112" spans="1:3" x14ac:dyDescent="0.3">
      <c r="A112" s="29" t="s">
        <v>132</v>
      </c>
      <c r="B112" s="1" t="s">
        <v>49</v>
      </c>
    </row>
    <row r="113" spans="1:3" x14ac:dyDescent="0.3">
      <c r="B113" t="s">
        <v>234</v>
      </c>
    </row>
    <row r="115" spans="1:3" x14ac:dyDescent="0.3">
      <c r="A115" s="41" t="s">
        <v>46</v>
      </c>
      <c r="B115" s="41"/>
      <c r="C115" s="41"/>
    </row>
    <row r="117" spans="1:3" x14ac:dyDescent="0.3">
      <c r="A117" s="29" t="s">
        <v>133</v>
      </c>
      <c r="B117" s="1" t="s">
        <v>15</v>
      </c>
    </row>
    <row r="118" spans="1:3" ht="51.75" customHeight="1" x14ac:dyDescent="0.3">
      <c r="B118" s="37" t="s">
        <v>196</v>
      </c>
      <c r="C118" s="38"/>
    </row>
    <row r="119" spans="1:3" ht="15" customHeight="1" x14ac:dyDescent="0.3">
      <c r="B119" s="3"/>
      <c r="C119" s="10"/>
    </row>
    <row r="120" spans="1:3" ht="15" customHeight="1" x14ac:dyDescent="0.3">
      <c r="A120" s="29" t="s">
        <v>195</v>
      </c>
      <c r="B120" s="39" t="s">
        <v>51</v>
      </c>
      <c r="C120" s="39"/>
    </row>
    <row r="121" spans="1:3" ht="48" customHeight="1" x14ac:dyDescent="0.3">
      <c r="B121" s="37" t="s">
        <v>197</v>
      </c>
      <c r="C121" s="37"/>
    </row>
    <row r="122" spans="1:3" ht="15" customHeight="1" x14ac:dyDescent="0.3">
      <c r="B122" s="3"/>
      <c r="C122" s="10"/>
    </row>
    <row r="123" spans="1:3" x14ac:dyDescent="0.3">
      <c r="A123" s="29" t="s">
        <v>198</v>
      </c>
      <c r="B123" s="39" t="s">
        <v>51</v>
      </c>
      <c r="C123" s="39"/>
    </row>
    <row r="124" spans="1:3" ht="19.5" customHeight="1" x14ac:dyDescent="0.3">
      <c r="B124" s="37" t="s">
        <v>199</v>
      </c>
      <c r="C124" s="37"/>
    </row>
    <row r="125" spans="1:3" ht="19.5" customHeight="1" x14ac:dyDescent="0.3">
      <c r="B125" s="3"/>
      <c r="C125" s="3"/>
    </row>
    <row r="126" spans="1:3" ht="19.5" customHeight="1" x14ac:dyDescent="0.3">
      <c r="B126" s="3"/>
      <c r="C126" s="3"/>
    </row>
    <row r="128" spans="1:3" x14ac:dyDescent="0.3">
      <c r="A128" s="41" t="s">
        <v>47</v>
      </c>
      <c r="B128" s="41"/>
      <c r="C128" s="41"/>
    </row>
    <row r="129" spans="1:3" ht="30" customHeight="1" x14ac:dyDescent="0.3"/>
    <row r="130" spans="1:3" x14ac:dyDescent="0.3">
      <c r="A130" s="19" t="str">
        <f>"Transfer - "&amp;B130</f>
        <v>Transfer - Generic</v>
      </c>
      <c r="B130" s="1" t="s">
        <v>134</v>
      </c>
    </row>
    <row r="131" spans="1:3" ht="42.75" customHeight="1" x14ac:dyDescent="0.3">
      <c r="B131" s="40" t="s">
        <v>152</v>
      </c>
      <c r="C131" s="40"/>
    </row>
    <row r="133" spans="1:3" ht="30" customHeight="1" x14ac:dyDescent="0.3">
      <c r="A133" s="22"/>
    </row>
    <row r="134" spans="1:3" x14ac:dyDescent="0.3">
      <c r="A134" s="29"/>
      <c r="B134" s="33"/>
      <c r="C134" s="25"/>
    </row>
    <row r="135" spans="1:3" x14ac:dyDescent="0.3">
      <c r="A135" s="32"/>
      <c r="B135" s="49"/>
      <c r="C135" s="49"/>
    </row>
    <row r="136" spans="1:3" ht="19.5" customHeight="1" x14ac:dyDescent="0.3">
      <c r="A136" s="29"/>
      <c r="B136" s="34"/>
      <c r="C136" s="34"/>
    </row>
    <row r="137" spans="1:3" ht="20.25" customHeight="1" x14ac:dyDescent="0.3">
      <c r="A137" s="35"/>
      <c r="B137" s="48"/>
      <c r="C137" s="43"/>
    </row>
    <row r="138" spans="1:3" ht="47.25" customHeight="1" x14ac:dyDescent="0.3">
      <c r="A138" s="35"/>
      <c r="B138" s="43"/>
      <c r="C138" s="43"/>
    </row>
    <row r="139" spans="1:3" ht="19.5" customHeight="1" x14ac:dyDescent="0.3">
      <c r="B139" s="3"/>
      <c r="C139" s="3"/>
    </row>
    <row r="140" spans="1:3" x14ac:dyDescent="0.3">
      <c r="A140" s="19" t="s">
        <v>141</v>
      </c>
      <c r="B140" s="1" t="s">
        <v>142</v>
      </c>
    </row>
    <row r="141" spans="1:3" x14ac:dyDescent="0.3">
      <c r="A141" s="22"/>
      <c r="B141" s="24" t="str">
        <f>"Hi, this is "&amp;G4&amp;" with the "&amp;G5&amp;" and I have a qualified candidate on the line that I would like you to help. Thank you!"</f>
        <v>Hi, this is Matt with the Superior Home and I have a qualified candidate on the line that I would like you to help. Thank you!</v>
      </c>
    </row>
    <row r="142" spans="1:3" ht="30" customHeight="1" x14ac:dyDescent="0.3"/>
    <row r="143" spans="1:3" x14ac:dyDescent="0.3">
      <c r="A143" s="41" t="s">
        <v>48</v>
      </c>
      <c r="B143" s="41"/>
      <c r="C143" s="41"/>
    </row>
    <row r="144" spans="1:3" x14ac:dyDescent="0.3">
      <c r="B144" s="9"/>
    </row>
    <row r="145" spans="1:3" ht="50.4" customHeight="1" x14ac:dyDescent="0.3">
      <c r="A145" s="10" t="s">
        <v>52</v>
      </c>
      <c r="B145" s="1" t="s">
        <v>18</v>
      </c>
    </row>
    <row r="146" spans="1:3" ht="65.400000000000006" customHeight="1" x14ac:dyDescent="0.3">
      <c r="B146" s="37" t="s">
        <v>174</v>
      </c>
      <c r="C146" s="38"/>
    </row>
    <row r="147" spans="1:3" ht="40.5" customHeight="1" x14ac:dyDescent="0.3"/>
    <row r="148" spans="1:3" x14ac:dyDescent="0.3">
      <c r="A148" s="29" t="s">
        <v>53</v>
      </c>
      <c r="B148" s="1" t="s">
        <v>32</v>
      </c>
    </row>
    <row r="149" spans="1:3" ht="64.8" customHeight="1" x14ac:dyDescent="0.3">
      <c r="A149" s="10"/>
      <c r="B149" s="37" t="s">
        <v>204</v>
      </c>
      <c r="C149" s="38"/>
    </row>
    <row r="150" spans="1:3" x14ac:dyDescent="0.3">
      <c r="A150" s="10"/>
    </row>
    <row r="151" spans="1:3" x14ac:dyDescent="0.3">
      <c r="A151" s="29"/>
      <c r="B151" s="33"/>
      <c r="C151" s="25"/>
    </row>
    <row r="152" spans="1:3" x14ac:dyDescent="0.3">
      <c r="A152" s="29"/>
      <c r="B152" s="46"/>
      <c r="C152" s="47"/>
    </row>
    <row r="153" spans="1:3" x14ac:dyDescent="0.3">
      <c r="A153" s="29"/>
      <c r="B153" s="25"/>
      <c r="C153" s="25"/>
    </row>
    <row r="154" spans="1:3" x14ac:dyDescent="0.3">
      <c r="A154" s="25"/>
      <c r="B154" s="25"/>
      <c r="C154" s="33"/>
    </row>
    <row r="155" spans="1:3" x14ac:dyDescent="0.3">
      <c r="A155" s="29"/>
      <c r="B155" s="25"/>
      <c r="C155" s="25"/>
    </row>
    <row r="156" spans="1:3" x14ac:dyDescent="0.3">
      <c r="A156" s="10"/>
    </row>
    <row r="157" spans="1:3" x14ac:dyDescent="0.3">
      <c r="A157" s="10" t="s">
        <v>54</v>
      </c>
      <c r="B157" s="1" t="s">
        <v>20</v>
      </c>
    </row>
    <row r="158" spans="1:3" ht="85.8" customHeight="1" x14ac:dyDescent="0.3">
      <c r="A158" s="10"/>
      <c r="B158" s="37" t="s">
        <v>175</v>
      </c>
      <c r="C158" s="38"/>
    </row>
    <row r="159" spans="1:3" x14ac:dyDescent="0.3">
      <c r="A159" s="10"/>
    </row>
    <row r="160" spans="1:3" x14ac:dyDescent="0.3">
      <c r="A160" s="29"/>
      <c r="B160" s="33"/>
      <c r="C160" s="25"/>
    </row>
    <row r="161" spans="1:3" x14ac:dyDescent="0.3">
      <c r="A161" s="29"/>
      <c r="B161" s="25"/>
      <c r="C161" s="25"/>
    </row>
    <row r="162" spans="1:3" x14ac:dyDescent="0.3">
      <c r="A162" s="29"/>
      <c r="B162" s="25"/>
      <c r="C162" s="25"/>
    </row>
    <row r="163" spans="1:3" x14ac:dyDescent="0.3">
      <c r="A163" s="10" t="s">
        <v>55</v>
      </c>
      <c r="B163" s="1" t="s">
        <v>21</v>
      </c>
    </row>
    <row r="164" spans="1:3" ht="39" customHeight="1" x14ac:dyDescent="0.3">
      <c r="A164" s="10"/>
      <c r="B164" t="s">
        <v>236</v>
      </c>
    </row>
    <row r="165" spans="1:3" x14ac:dyDescent="0.3">
      <c r="A165" s="10"/>
    </row>
    <row r="166" spans="1:3" x14ac:dyDescent="0.3">
      <c r="A166" s="29"/>
      <c r="B166" s="33"/>
      <c r="C166" s="25"/>
    </row>
    <row r="167" spans="1:3" x14ac:dyDescent="0.3">
      <c r="A167" s="29"/>
      <c r="B167" s="25"/>
      <c r="C167" s="25"/>
    </row>
    <row r="168" spans="1:3" x14ac:dyDescent="0.3">
      <c r="A168" s="29"/>
      <c r="B168" s="25"/>
      <c r="C168" s="25"/>
    </row>
    <row r="169" spans="1:3" x14ac:dyDescent="0.3">
      <c r="A169" s="25"/>
      <c r="B169" s="25"/>
      <c r="C169" s="33"/>
    </row>
    <row r="170" spans="1:3" x14ac:dyDescent="0.3">
      <c r="A170" s="29"/>
      <c r="B170" s="25"/>
      <c r="C170" s="25"/>
    </row>
    <row r="171" spans="1:3" x14ac:dyDescent="0.3">
      <c r="A171" s="29"/>
      <c r="B171" s="25"/>
      <c r="C171" s="25"/>
    </row>
    <row r="172" spans="1:3" x14ac:dyDescent="0.3">
      <c r="A172" s="29"/>
      <c r="B172" s="33"/>
      <c r="C172" s="25"/>
    </row>
    <row r="173" spans="1:3" x14ac:dyDescent="0.3">
      <c r="A173" s="29"/>
      <c r="B173" s="46"/>
      <c r="C173" s="47"/>
    </row>
    <row r="174" spans="1:3" x14ac:dyDescent="0.3">
      <c r="A174" s="10"/>
    </row>
    <row r="175" spans="1:3" x14ac:dyDescent="0.3">
      <c r="A175" s="29" t="s">
        <v>56</v>
      </c>
      <c r="B175" s="1" t="s">
        <v>187</v>
      </c>
    </row>
    <row r="176" spans="1:3" x14ac:dyDescent="0.3">
      <c r="A176" s="10"/>
      <c r="B176" s="37" t="s">
        <v>257</v>
      </c>
      <c r="C176" s="38"/>
    </row>
    <row r="177" spans="1:6" x14ac:dyDescent="0.3">
      <c r="A177" s="10"/>
    </row>
    <row r="178" spans="1:6" x14ac:dyDescent="0.3">
      <c r="A178" s="29" t="s">
        <v>57</v>
      </c>
      <c r="B178" s="1" t="s">
        <v>22</v>
      </c>
    </row>
    <row r="179" spans="1:6" x14ac:dyDescent="0.3">
      <c r="A179" s="10"/>
      <c r="B179" s="37" t="s">
        <v>188</v>
      </c>
      <c r="C179" s="38"/>
    </row>
    <row r="180" spans="1:6" x14ac:dyDescent="0.3">
      <c r="A180" s="10"/>
    </row>
    <row r="181" spans="1:6" x14ac:dyDescent="0.3">
      <c r="A181" t="s">
        <v>58</v>
      </c>
      <c r="C181" s="1" t="s">
        <v>19</v>
      </c>
    </row>
    <row r="182" spans="1:6" ht="43.2" x14ac:dyDescent="0.3">
      <c r="A182" s="10"/>
      <c r="C182" s="2" t="s">
        <v>153</v>
      </c>
    </row>
    <row r="183" spans="1:6" x14ac:dyDescent="0.3">
      <c r="A183" s="10"/>
    </row>
    <row r="184" spans="1:6" x14ac:dyDescent="0.3">
      <c r="A184" s="10"/>
    </row>
    <row r="185" spans="1:6" ht="45" customHeight="1" x14ac:dyDescent="0.3">
      <c r="A185" s="10"/>
      <c r="F185" s="10" t="s">
        <v>135</v>
      </c>
    </row>
    <row r="186" spans="1:6" x14ac:dyDescent="0.3">
      <c r="A186" s="10" t="s">
        <v>59</v>
      </c>
      <c r="B186" s="1" t="s">
        <v>151</v>
      </c>
    </row>
    <row r="187" spans="1:6" ht="48" customHeight="1" x14ac:dyDescent="0.3">
      <c r="A187" s="10"/>
      <c r="B187" s="44" t="str">
        <f>"So, the "&amp;G5&amp;" works with a network of approved companies that specialize in window replacement. This actually allows us to customize our services to you and connect you with the most suitable company that meets your personal requirements."</f>
        <v>So, the Superior Home works with a network of approved companies that specialize in window replacement. This actually allows us to customize our services to you and connect you with the most suitable company that meets your personal requirements.</v>
      </c>
      <c r="C187" s="45"/>
    </row>
    <row r="188" spans="1:6" x14ac:dyDescent="0.3">
      <c r="A188" s="10"/>
    </row>
    <row r="189" spans="1:6" x14ac:dyDescent="0.3">
      <c r="A189" s="29" t="s">
        <v>60</v>
      </c>
      <c r="B189" s="1" t="s">
        <v>23</v>
      </c>
    </row>
    <row r="190" spans="1:6" x14ac:dyDescent="0.3">
      <c r="A190" s="10"/>
      <c r="B190" s="44" t="str">
        <f>"Well, the reason the number is sometimes different, is because we do use a few different phone numbers through different carriers 
and that just helps our efficiency, but rest assured, the number you see IS owned by the "&amp;G5&amp;", and if you were to dial that, that would go directly to our customer service, okay?"</f>
        <v>Well, the reason the number is sometimes different, is because we do use a few different phone numbers through different carriers 
and that just helps our efficiency, but rest assured, the number you see IS owned by the Superior Home, and if you were to dial that, that would go directly to our customer service, okay?</v>
      </c>
      <c r="C190" s="45"/>
    </row>
    <row r="191" spans="1:6" x14ac:dyDescent="0.3">
      <c r="A191" s="10"/>
    </row>
    <row r="192" spans="1:6" x14ac:dyDescent="0.3">
      <c r="A192" s="25" t="s">
        <v>61</v>
      </c>
      <c r="C192" s="1" t="s">
        <v>19</v>
      </c>
    </row>
    <row r="193" spans="1:6" ht="28.8" x14ac:dyDescent="0.3">
      <c r="A193" s="10"/>
      <c r="C193" s="16" t="str">
        <f>"Y’know that's really a technical thing, so I don’t really know the answer to it myself, but as I mentioned, if you did call it back – it does comes to us here at "&amp;G6&amp;", and that is a federal requirement, okay?"</f>
        <v>Y’know that's really a technical thing, so I don’t really know the answer to it myself, but as I mentioned, if you did call it back – it does comes to us here at LeafTel, and that is a federal requirement, okay?</v>
      </c>
    </row>
    <row r="194" spans="1:6" x14ac:dyDescent="0.3">
      <c r="A194" s="10"/>
    </row>
    <row r="195" spans="1:6" x14ac:dyDescent="0.3">
      <c r="A195" s="10" t="s">
        <v>63</v>
      </c>
      <c r="B195" s="1" t="s">
        <v>24</v>
      </c>
    </row>
    <row r="196" spans="1:6" x14ac:dyDescent="0.3">
      <c r="A196" s="10"/>
      <c r="B196" s="12" t="str">
        <f>"My name is "&amp;G4&amp;"."</f>
        <v>My name is Matt.</v>
      </c>
      <c r="F196" s="10"/>
    </row>
    <row r="197" spans="1:6" x14ac:dyDescent="0.3">
      <c r="A197" s="10"/>
      <c r="F197" s="10"/>
    </row>
    <row r="198" spans="1:6" x14ac:dyDescent="0.3">
      <c r="A198" s="25" t="s">
        <v>62</v>
      </c>
      <c r="C198" s="1" t="s">
        <v>19</v>
      </c>
      <c r="F198" s="10"/>
    </row>
    <row r="199" spans="1:6" x14ac:dyDescent="0.3">
      <c r="A199" s="10"/>
      <c r="C199" s="18" t="s">
        <v>206</v>
      </c>
      <c r="F199" s="10"/>
    </row>
    <row r="200" spans="1:6" x14ac:dyDescent="0.3">
      <c r="A200" s="10"/>
      <c r="F200" s="10"/>
    </row>
    <row r="201" spans="1:6" x14ac:dyDescent="0.3">
      <c r="A201" s="10" t="s">
        <v>64</v>
      </c>
      <c r="B201" s="1" t="s">
        <v>26</v>
      </c>
    </row>
    <row r="202" spans="1:6" x14ac:dyDescent="0.3">
      <c r="A202" s="10"/>
      <c r="B202" s="12" t="str">
        <f>"It’s called the "&amp;G5&amp;"."</f>
        <v>It’s called the Superior Home.</v>
      </c>
    </row>
    <row r="203" spans="1:6" x14ac:dyDescent="0.3">
      <c r="A203" s="10"/>
      <c r="F203" s="10"/>
    </row>
    <row r="204" spans="1:6" ht="30" customHeight="1" x14ac:dyDescent="0.3">
      <c r="A204" s="10" t="s">
        <v>65</v>
      </c>
      <c r="B204" s="1" t="s">
        <v>27</v>
      </c>
    </row>
    <row r="205" spans="1:6" x14ac:dyDescent="0.3">
      <c r="A205" s="10"/>
      <c r="B205" s="37" t="s">
        <v>138</v>
      </c>
      <c r="C205" s="38"/>
      <c r="F205" s="10"/>
    </row>
    <row r="206" spans="1:6" x14ac:dyDescent="0.3">
      <c r="A206" s="10"/>
      <c r="F206" s="10"/>
    </row>
    <row r="207" spans="1:6" ht="30.6" customHeight="1" x14ac:dyDescent="0.3">
      <c r="A207" s="10" t="s">
        <v>66</v>
      </c>
      <c r="B207" s="1" t="s">
        <v>28</v>
      </c>
      <c r="F207" s="10"/>
    </row>
    <row r="208" spans="1:6" x14ac:dyDescent="0.3">
      <c r="A208" s="10"/>
      <c r="B208" s="37" t="s">
        <v>176</v>
      </c>
      <c r="C208" s="38"/>
      <c r="F208" s="10"/>
    </row>
    <row r="209" spans="1:3" x14ac:dyDescent="0.3">
      <c r="A209" s="10"/>
    </row>
    <row r="210" spans="1:3" ht="30" customHeight="1" x14ac:dyDescent="0.3">
      <c r="A210" s="29"/>
      <c r="B210" s="33"/>
      <c r="C210" s="25"/>
    </row>
    <row r="211" spans="1:3" x14ac:dyDescent="0.3">
      <c r="A211" s="29"/>
      <c r="B211" s="25"/>
      <c r="C211" s="25"/>
    </row>
    <row r="212" spans="1:3" x14ac:dyDescent="0.3">
      <c r="A212" s="10"/>
    </row>
    <row r="213" spans="1:3" x14ac:dyDescent="0.3">
      <c r="A213" s="10" t="s">
        <v>67</v>
      </c>
      <c r="B213" s="1" t="s">
        <v>29</v>
      </c>
    </row>
    <row r="214" spans="1:3" x14ac:dyDescent="0.3">
      <c r="A214" s="10"/>
      <c r="B214" s="12" t="str">
        <f>G6&amp;" is contracted to make calls on behalf of the "&amp;G5&amp;"."</f>
        <v>LeafTel is contracted to make calls on behalf of the Superior Home.</v>
      </c>
    </row>
    <row r="215" spans="1:3" x14ac:dyDescent="0.3">
      <c r="A215" s="10"/>
    </row>
    <row r="216" spans="1:3" ht="32.25" customHeight="1" x14ac:dyDescent="0.3">
      <c r="A216" t="s">
        <v>68</v>
      </c>
      <c r="C216" s="1" t="s">
        <v>19</v>
      </c>
    </row>
    <row r="217" spans="1:3" ht="28.8" x14ac:dyDescent="0.3">
      <c r="A217"/>
      <c r="C217" s="15" t="str">
        <f>"So, "&amp;G6&amp;" is a company specializing in marketing communications. We're calling you today to follow up on an online 
request for more information about new windows."</f>
        <v>So, LeafTel is a company specializing in marketing communications. We're calling you today to follow up on an online 
request for more information about new windows.</v>
      </c>
    </row>
    <row r="218" spans="1:3" x14ac:dyDescent="0.3">
      <c r="A218"/>
    </row>
    <row r="219" spans="1:3" ht="55.5" customHeight="1" x14ac:dyDescent="0.3">
      <c r="A219" s="25" t="s">
        <v>69</v>
      </c>
      <c r="C219" s="1" t="s">
        <v>25</v>
      </c>
    </row>
    <row r="220" spans="1:3" x14ac:dyDescent="0.3">
      <c r="A220" s="10"/>
      <c r="C220" s="18" t="s">
        <v>259</v>
      </c>
    </row>
    <row r="221" spans="1:3" x14ac:dyDescent="0.3">
      <c r="A221" s="10"/>
    </row>
    <row r="222" spans="1:3" x14ac:dyDescent="0.3">
      <c r="A222" s="10" t="s">
        <v>70</v>
      </c>
      <c r="B222" s="1" t="s">
        <v>30</v>
      </c>
    </row>
    <row r="223" spans="1:3" x14ac:dyDescent="0.3">
      <c r="A223" s="10"/>
      <c r="B223" s="44" t="str">
        <f>"And again this is "&amp;G4&amp;" and I'm calling on behalf of "&amp;G5&amp;" in regards to an online request for information about 
new windows."</f>
        <v>And again this is Matt and I'm calling on behalf of Superior Home in regards to an online request for information about 
new windows.</v>
      </c>
      <c r="C223" s="44"/>
    </row>
    <row r="224" spans="1:3" x14ac:dyDescent="0.3">
      <c r="A224" s="10"/>
    </row>
    <row r="225" spans="1:3" x14ac:dyDescent="0.3">
      <c r="A225" t="s">
        <v>71</v>
      </c>
      <c r="C225" s="1" t="s">
        <v>19</v>
      </c>
    </row>
    <row r="226" spans="1:3" x14ac:dyDescent="0.3">
      <c r="A226" s="10"/>
      <c r="B226" t="s">
        <v>8</v>
      </c>
      <c r="C226" s="12" t="str">
        <f>"We’re calling from a company called "&amp;G6&amp;" on behalf of the "&amp;G5&amp;"."</f>
        <v>We’re calling from a company called LeafTel on behalf of the Superior Home.</v>
      </c>
    </row>
    <row r="227" spans="1:3" x14ac:dyDescent="0.3">
      <c r="A227" s="10"/>
    </row>
    <row r="228" spans="1:3" x14ac:dyDescent="0.3">
      <c r="A228" s="10" t="s">
        <v>72</v>
      </c>
      <c r="B228" s="1" t="s">
        <v>31</v>
      </c>
    </row>
    <row r="229" spans="1:3" x14ac:dyDescent="0.3">
      <c r="A229" s="10"/>
      <c r="B229" s="37" t="s">
        <v>177</v>
      </c>
      <c r="C229" s="38"/>
    </row>
    <row r="230" spans="1:3" x14ac:dyDescent="0.3">
      <c r="A230" s="10"/>
    </row>
    <row r="231" spans="1:3" ht="30" customHeight="1" x14ac:dyDescent="0.3">
      <c r="A231" s="29" t="s">
        <v>73</v>
      </c>
      <c r="B231" s="1" t="s">
        <v>84</v>
      </c>
    </row>
    <row r="232" spans="1:3" x14ac:dyDescent="0.3">
      <c r="A232" s="10"/>
      <c r="B232" s="12" t="str">
        <f>"The customer service number for the "&amp;G5&amp;" is: "&amp;LEFT(G9,3)&amp;"-"&amp;MID(G9,4,3)&amp;"-"&amp;RIGHT(G9,4)</f>
        <v>The customer service number for the Superior Home is: --</v>
      </c>
    </row>
    <row r="233" spans="1:3" x14ac:dyDescent="0.3">
      <c r="A233" s="10"/>
    </row>
    <row r="234" spans="1:3" ht="30" customHeight="1" x14ac:dyDescent="0.3">
      <c r="A234" s="29" t="s">
        <v>74</v>
      </c>
      <c r="B234" s="1" t="s">
        <v>83</v>
      </c>
    </row>
    <row r="235" spans="1:3" x14ac:dyDescent="0.3">
      <c r="A235" s="29"/>
      <c r="B235" s="12" t="str">
        <f>"The website is: "&amp;G11</f>
        <v>The website is: superiorhomewindows.com</v>
      </c>
    </row>
    <row r="236" spans="1:3" x14ac:dyDescent="0.3">
      <c r="A236" s="29"/>
      <c r="B236" s="12"/>
    </row>
    <row r="237" spans="1:3" ht="24.75" customHeight="1" x14ac:dyDescent="0.3">
      <c r="A237" s="29" t="s">
        <v>86</v>
      </c>
      <c r="B237" s="1" t="s">
        <v>85</v>
      </c>
    </row>
    <row r="238" spans="1:3" x14ac:dyDescent="0.3">
      <c r="A238" s="29"/>
      <c r="B238" t="s">
        <v>253</v>
      </c>
    </row>
    <row r="239" spans="1:3" x14ac:dyDescent="0.3">
      <c r="A239" s="10"/>
    </row>
    <row r="240" spans="1:3" ht="24" customHeight="1" x14ac:dyDescent="0.3">
      <c r="A240" s="29" t="s">
        <v>75</v>
      </c>
      <c r="B240" s="1" t="s">
        <v>87</v>
      </c>
    </row>
    <row r="241" spans="1:3" x14ac:dyDescent="0.3">
      <c r="A241" s="10"/>
      <c r="B241" s="12" t="str">
        <f>"I’m calling from "&amp;G6&amp;" on behalf of the "&amp;G5&amp;" at, "&amp;LEFT(G9,3)&amp;"-"&amp;MID(G9,4,3)&amp;"-"&amp;RIGHT(G9,4)</f>
        <v>I’m calling from LeafTel on behalf of the Superior Home at, --</v>
      </c>
    </row>
    <row r="242" spans="1:3" x14ac:dyDescent="0.3">
      <c r="A242" s="10"/>
    </row>
    <row r="243" spans="1:3" ht="30" customHeight="1" x14ac:dyDescent="0.3">
      <c r="A243" s="10" t="s">
        <v>76</v>
      </c>
      <c r="B243" s="1" t="s">
        <v>139</v>
      </c>
    </row>
    <row r="244" spans="1:3" x14ac:dyDescent="0.3">
      <c r="A244" s="10"/>
      <c r="B244" s="37" t="s">
        <v>178</v>
      </c>
      <c r="C244" s="38"/>
    </row>
    <row r="245" spans="1:3" x14ac:dyDescent="0.3">
      <c r="A245" s="10"/>
    </row>
    <row r="246" spans="1:3" x14ac:dyDescent="0.3">
      <c r="A246" s="29" t="s">
        <v>77</v>
      </c>
      <c r="B246" s="1" t="s">
        <v>33</v>
      </c>
    </row>
    <row r="247" spans="1:3" ht="29.4" customHeight="1" x14ac:dyDescent="0.3">
      <c r="A247" s="10"/>
      <c r="B247" s="37" t="s">
        <v>140</v>
      </c>
      <c r="C247" s="38"/>
    </row>
    <row r="248" spans="1:3" x14ac:dyDescent="0.3">
      <c r="A248" s="10"/>
    </row>
    <row r="249" spans="1:3" x14ac:dyDescent="0.3">
      <c r="A249" s="29" t="s">
        <v>78</v>
      </c>
      <c r="B249" s="1" t="s">
        <v>34</v>
      </c>
    </row>
    <row r="250" spans="1:3" ht="30" customHeight="1" x14ac:dyDescent="0.3">
      <c r="A250" s="10"/>
      <c r="B250" s="37" t="s">
        <v>189</v>
      </c>
      <c r="C250" s="38"/>
    </row>
    <row r="251" spans="1:3" x14ac:dyDescent="0.3">
      <c r="A251" s="10"/>
    </row>
    <row r="252" spans="1:3" x14ac:dyDescent="0.3">
      <c r="A252" s="29" t="s">
        <v>79</v>
      </c>
      <c r="B252" s="1" t="s">
        <v>35</v>
      </c>
    </row>
    <row r="253" spans="1:3" ht="36" customHeight="1" x14ac:dyDescent="0.3">
      <c r="A253" s="10"/>
      <c r="B253" s="37" t="s">
        <v>190</v>
      </c>
      <c r="C253" s="38"/>
    </row>
    <row r="254" spans="1:3" x14ac:dyDescent="0.3">
      <c r="A254" s="10"/>
    </row>
    <row r="255" spans="1:3" x14ac:dyDescent="0.3">
      <c r="A255" t="s">
        <v>80</v>
      </c>
      <c r="C255" s="1" t="s">
        <v>36</v>
      </c>
    </row>
    <row r="256" spans="1:3" ht="28.8" x14ac:dyDescent="0.3">
      <c r="A256"/>
      <c r="C256" s="3" t="s">
        <v>165</v>
      </c>
    </row>
    <row r="257" spans="1:3" x14ac:dyDescent="0.3">
      <c r="A257"/>
    </row>
    <row r="258" spans="1:3" x14ac:dyDescent="0.3">
      <c r="A258" s="10"/>
    </row>
    <row r="259" spans="1:3" x14ac:dyDescent="0.3">
      <c r="A259" s="10" t="s">
        <v>146</v>
      </c>
      <c r="B259" s="1" t="s">
        <v>149</v>
      </c>
    </row>
    <row r="260" spans="1:3" x14ac:dyDescent="0.3">
      <c r="A260" s="10"/>
      <c r="B260" s="37" t="s">
        <v>148</v>
      </c>
      <c r="C260" s="38"/>
    </row>
    <row r="261" spans="1:3" x14ac:dyDescent="0.3">
      <c r="A261" s="10"/>
    </row>
    <row r="262" spans="1:3" x14ac:dyDescent="0.3">
      <c r="A262" s="10" t="s">
        <v>147</v>
      </c>
      <c r="B262" s="1" t="s">
        <v>150</v>
      </c>
    </row>
    <row r="263" spans="1:3" x14ac:dyDescent="0.3">
      <c r="A263" s="10"/>
      <c r="B263" s="37" t="s">
        <v>16</v>
      </c>
      <c r="C263" s="38"/>
    </row>
    <row r="264" spans="1:3" x14ac:dyDescent="0.3">
      <c r="A264" s="10"/>
    </row>
    <row r="265" spans="1:3" ht="30" customHeight="1" x14ac:dyDescent="0.3"/>
    <row r="268" spans="1:3" ht="45" customHeight="1" x14ac:dyDescent="0.3"/>
    <row r="271" spans="1:3" ht="45.75" customHeight="1" x14ac:dyDescent="0.3"/>
    <row r="277" spans="6:6" x14ac:dyDescent="0.3">
      <c r="F277" s="17"/>
    </row>
    <row r="283" spans="6:6" ht="30" customHeight="1" x14ac:dyDescent="0.3"/>
    <row r="286" spans="6:6" ht="30" customHeight="1" x14ac:dyDescent="0.3"/>
    <row r="295" ht="30" customHeight="1" x14ac:dyDescent="0.3"/>
    <row r="301" ht="30" customHeight="1" x14ac:dyDescent="0.3"/>
    <row r="307" ht="30" customHeight="1" x14ac:dyDescent="0.3"/>
    <row r="322" ht="24.75" customHeight="1" x14ac:dyDescent="0.3"/>
    <row r="325" ht="30.6" customHeight="1" x14ac:dyDescent="0.3"/>
    <row r="328" ht="45.6" customHeight="1" x14ac:dyDescent="0.3"/>
    <row r="331" ht="30" customHeight="1" x14ac:dyDescent="0.3"/>
    <row r="334" ht="30" customHeight="1" x14ac:dyDescent="0.3"/>
    <row r="337" ht="30" customHeight="1" x14ac:dyDescent="0.3"/>
    <row r="343" ht="30" customHeight="1" x14ac:dyDescent="0.3"/>
  </sheetData>
  <mergeCells count="62">
    <mergeCell ref="E93:L93"/>
    <mergeCell ref="E96:L96"/>
    <mergeCell ref="E78:L78"/>
    <mergeCell ref="B223:C223"/>
    <mergeCell ref="B75:C75"/>
    <mergeCell ref="B152:C152"/>
    <mergeCell ref="B158:C158"/>
    <mergeCell ref="B173:C173"/>
    <mergeCell ref="B176:C176"/>
    <mergeCell ref="B179:C179"/>
    <mergeCell ref="B146:C146"/>
    <mergeCell ref="B149:C149"/>
    <mergeCell ref="B137:C137"/>
    <mergeCell ref="B135:C135"/>
    <mergeCell ref="A143:C143"/>
    <mergeCell ref="B84:C84"/>
    <mergeCell ref="B87:C87"/>
    <mergeCell ref="B90:C90"/>
    <mergeCell ref="B229:C229"/>
    <mergeCell ref="B244:C244"/>
    <mergeCell ref="B247:C247"/>
    <mergeCell ref="B187:C187"/>
    <mergeCell ref="B190:C190"/>
    <mergeCell ref="B205:C205"/>
    <mergeCell ref="B208:C208"/>
    <mergeCell ref="B138:C138"/>
    <mergeCell ref="B70:C70"/>
    <mergeCell ref="B110:C110"/>
    <mergeCell ref="B120:C120"/>
    <mergeCell ref="B121:C121"/>
    <mergeCell ref="B99:C99"/>
    <mergeCell ref="A128:C128"/>
    <mergeCell ref="A2:C2"/>
    <mergeCell ref="A4:C4"/>
    <mergeCell ref="A24:C24"/>
    <mergeCell ref="A47:C47"/>
    <mergeCell ref="A58:C58"/>
    <mergeCell ref="B50:C50"/>
    <mergeCell ref="B69:C69"/>
    <mergeCell ref="B71:C71"/>
    <mergeCell ref="B74:C74"/>
    <mergeCell ref="B72:C72"/>
    <mergeCell ref="B78:C78"/>
    <mergeCell ref="B102:C102"/>
    <mergeCell ref="B123:C123"/>
    <mergeCell ref="B124:C124"/>
    <mergeCell ref="B61:Q61"/>
    <mergeCell ref="B260:C260"/>
    <mergeCell ref="B263:C263"/>
    <mergeCell ref="B96:C96"/>
    <mergeCell ref="B63:C63"/>
    <mergeCell ref="B64:C64"/>
    <mergeCell ref="B107:C107"/>
    <mergeCell ref="B81:C81"/>
    <mergeCell ref="B131:C131"/>
    <mergeCell ref="B118:C118"/>
    <mergeCell ref="B250:C250"/>
    <mergeCell ref="B253:C253"/>
    <mergeCell ref="B66:C66"/>
    <mergeCell ref="B67:C67"/>
    <mergeCell ref="A104:C104"/>
    <mergeCell ref="A115:C115"/>
  </mergeCells>
  <hyperlinks>
    <hyperlink ref="G10" r:id="rId1" xr:uid="{8488D403-257E-4FB7-99F3-1219318A49AC}"/>
    <hyperlink ref="G11" r:id="rId2" display="info@the-solar-project.com" xr:uid="{F905106E-2D00-4BD9-9E03-3BAD66E3B85E}"/>
  </hyperlinks>
  <pageMargins left="0.7" right="0.7" top="0.75" bottom="0.75" header="0.3" footer="0.3"/>
  <pageSetup orientation="portrait"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B0F8-C7FE-4635-88EA-DBF22E4291E5}">
  <dimension ref="A1:B34"/>
  <sheetViews>
    <sheetView showGridLines="0" workbookViewId="0"/>
  </sheetViews>
  <sheetFormatPr defaultRowHeight="14.4" x14ac:dyDescent="0.3"/>
  <cols>
    <col min="1" max="1" width="22.88671875" bestFit="1" customWidth="1"/>
    <col min="2" max="2" width="255.6640625" bestFit="1" customWidth="1"/>
  </cols>
  <sheetData>
    <row r="1" spans="1:2" x14ac:dyDescent="0.3">
      <c r="A1" s="25" t="s">
        <v>93</v>
      </c>
      <c r="B1" t="s">
        <v>158</v>
      </c>
    </row>
    <row r="2" spans="1:2" x14ac:dyDescent="0.3">
      <c r="A2" s="25" t="s">
        <v>94</v>
      </c>
      <c r="B2" t="s">
        <v>159</v>
      </c>
    </row>
    <row r="3" spans="1:2" x14ac:dyDescent="0.3">
      <c r="A3" t="s">
        <v>95</v>
      </c>
      <c r="B3" t="s">
        <v>254</v>
      </c>
    </row>
    <row r="4" spans="1:2" x14ac:dyDescent="0.3">
      <c r="A4" t="s">
        <v>96</v>
      </c>
      <c r="B4" t="s">
        <v>255</v>
      </c>
    </row>
    <row r="5" spans="1:2" x14ac:dyDescent="0.3">
      <c r="A5" t="s">
        <v>97</v>
      </c>
      <c r="B5" t="s">
        <v>256</v>
      </c>
    </row>
    <row r="6" spans="1:2" x14ac:dyDescent="0.3">
      <c r="A6" t="s">
        <v>98</v>
      </c>
      <c r="B6" t="s">
        <v>157</v>
      </c>
    </row>
    <row r="7" spans="1:2" x14ac:dyDescent="0.3">
      <c r="A7" t="s">
        <v>99</v>
      </c>
      <c r="B7" t="s">
        <v>156</v>
      </c>
    </row>
    <row r="8" spans="1:2" x14ac:dyDescent="0.3">
      <c r="A8" s="25" t="s">
        <v>100</v>
      </c>
      <c r="B8" t="s">
        <v>260</v>
      </c>
    </row>
    <row r="9" spans="1:2" x14ac:dyDescent="0.3">
      <c r="A9" s="25" t="s">
        <v>101</v>
      </c>
      <c r="B9" s="10"/>
    </row>
    <row r="10" spans="1:2" x14ac:dyDescent="0.3">
      <c r="A10" s="25" t="s">
        <v>102</v>
      </c>
      <c r="B10" s="10"/>
    </row>
    <row r="11" spans="1:2" x14ac:dyDescent="0.3">
      <c r="A11" t="s">
        <v>103</v>
      </c>
      <c r="B11" t="s">
        <v>155</v>
      </c>
    </row>
    <row r="12" spans="1:2" x14ac:dyDescent="0.3">
      <c r="A12" t="s">
        <v>104</v>
      </c>
      <c r="B12" t="s">
        <v>160</v>
      </c>
    </row>
    <row r="13" spans="1:2" x14ac:dyDescent="0.3">
      <c r="A13" s="25" t="s">
        <v>105</v>
      </c>
      <c r="B13" t="s">
        <v>239</v>
      </c>
    </row>
    <row r="14" spans="1:2" x14ac:dyDescent="0.3">
      <c r="A14" s="25" t="s">
        <v>106</v>
      </c>
      <c r="B14" t="s">
        <v>240</v>
      </c>
    </row>
    <row r="15" spans="1:2" x14ac:dyDescent="0.3">
      <c r="A15" s="25" t="s">
        <v>107</v>
      </c>
      <c r="B15" t="s">
        <v>241</v>
      </c>
    </row>
    <row r="16" spans="1:2" x14ac:dyDescent="0.3">
      <c r="A16" s="25" t="s">
        <v>108</v>
      </c>
      <c r="B16" t="s">
        <v>161</v>
      </c>
    </row>
    <row r="17" spans="1:2" x14ac:dyDescent="0.3">
      <c r="A17" s="25" t="s">
        <v>109</v>
      </c>
      <c r="B17" t="s">
        <v>154</v>
      </c>
    </row>
    <row r="18" spans="1:2" x14ac:dyDescent="0.3">
      <c r="A18" t="s">
        <v>110</v>
      </c>
      <c r="B18" t="s">
        <v>246</v>
      </c>
    </row>
    <row r="19" spans="1:2" x14ac:dyDescent="0.3">
      <c r="A19" s="25" t="s">
        <v>111</v>
      </c>
      <c r="B19" t="s">
        <v>247</v>
      </c>
    </row>
    <row r="20" spans="1:2" x14ac:dyDescent="0.3">
      <c r="A20" s="25" t="s">
        <v>112</v>
      </c>
      <c r="B20" t="s">
        <v>113</v>
      </c>
    </row>
    <row r="21" spans="1:2" x14ac:dyDescent="0.3">
      <c r="A21" s="25" t="s">
        <v>114</v>
      </c>
      <c r="B21" t="s">
        <v>248</v>
      </c>
    </row>
    <row r="22" spans="1:2" x14ac:dyDescent="0.3">
      <c r="A22" t="s">
        <v>115</v>
      </c>
      <c r="B22" t="s">
        <v>162</v>
      </c>
    </row>
    <row r="23" spans="1:2" x14ac:dyDescent="0.3">
      <c r="A23" t="s">
        <v>116</v>
      </c>
      <c r="B23" t="s">
        <v>163</v>
      </c>
    </row>
    <row r="24" spans="1:2" x14ac:dyDescent="0.3">
      <c r="A24" s="25" t="s">
        <v>117</v>
      </c>
      <c r="B24" s="25" t="s">
        <v>242</v>
      </c>
    </row>
    <row r="25" spans="1:2" x14ac:dyDescent="0.3">
      <c r="A25" s="25" t="s">
        <v>118</v>
      </c>
      <c r="B25" s="25" t="s">
        <v>243</v>
      </c>
    </row>
    <row r="26" spans="1:2" x14ac:dyDescent="0.3">
      <c r="A26" s="25" t="s">
        <v>119</v>
      </c>
      <c r="B26" s="25" t="s">
        <v>244</v>
      </c>
    </row>
    <row r="27" spans="1:2" x14ac:dyDescent="0.3">
      <c r="A27" s="25" t="s">
        <v>120</v>
      </c>
      <c r="B27" t="s">
        <v>164</v>
      </c>
    </row>
    <row r="28" spans="1:2" x14ac:dyDescent="0.3">
      <c r="A28" s="25" t="s">
        <v>201</v>
      </c>
      <c r="B28" t="s">
        <v>245</v>
      </c>
    </row>
    <row r="29" spans="1:2" s="25" customFormat="1" x14ac:dyDescent="0.3">
      <c r="A29" s="25" t="s">
        <v>202</v>
      </c>
      <c r="B29" t="s">
        <v>203</v>
      </c>
    </row>
    <row r="30" spans="1:2" s="25" customFormat="1" x14ac:dyDescent="0.3">
      <c r="A30" s="25" t="s">
        <v>249</v>
      </c>
      <c r="B30" s="30" t="s">
        <v>250</v>
      </c>
    </row>
    <row r="31" spans="1:2" s="25" customFormat="1" x14ac:dyDescent="0.3">
      <c r="A31" s="25" t="s">
        <v>251</v>
      </c>
      <c r="B31" t="s">
        <v>252</v>
      </c>
    </row>
    <row r="32" spans="1:2" s="25" customFormat="1" x14ac:dyDescent="0.3">
      <c r="A32"/>
      <c r="B32"/>
    </row>
    <row r="33" spans="1:2" s="25" customFormat="1" x14ac:dyDescent="0.3">
      <c r="A33"/>
      <c r="B33"/>
    </row>
    <row r="34" spans="1:2" s="25" customFormat="1" x14ac:dyDescent="0.3">
      <c r="A34"/>
      <c r="B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Windows Script</vt:lpstr>
      <vt:lpstr>Hot Keys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Smith</dc:creator>
  <cp:lastModifiedBy>Ashley Smith</cp:lastModifiedBy>
  <dcterms:created xsi:type="dcterms:W3CDTF">2018-08-31T03:32:13Z</dcterms:created>
  <dcterms:modified xsi:type="dcterms:W3CDTF">2026-07-07T22:32:11Z</dcterms:modified>
</cp:coreProperties>
</file>