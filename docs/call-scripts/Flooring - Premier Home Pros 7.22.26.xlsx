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autowebinc-my.sharepoint.com/personal/ashley_smith_buyerlink_com/Documents/Desktop/"/>
    </mc:Choice>
  </mc:AlternateContent>
  <xr:revisionPtr revIDLastSave="0" documentId="8_{984C167D-06D4-4FBB-8244-4979A7A60866}" xr6:coauthVersionLast="47" xr6:coauthVersionMax="47" xr10:uidLastSave="{00000000-0000-0000-0000-000000000000}"/>
  <bookViews>
    <workbookView xWindow="-108" yWindow="-108" windowWidth="23256" windowHeight="13896" xr2:uid="{B00DC431-C19A-4C0C-9318-CD3A6F0404EF}"/>
  </bookViews>
  <sheets>
    <sheet name="Flooring Script" sheetId="1" r:id="rId1"/>
    <sheet name="Hot Keys" sheetId="2" r:id="rId2"/>
  </sheets>
  <calcPr calcId="191029"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23" i="1" l="1"/>
  <c r="C217" i="1"/>
  <c r="B187" i="1"/>
  <c r="C13" i="1"/>
  <c r="B214" i="1" l="1"/>
  <c r="B33" i="1" l="1"/>
  <c r="B30" i="1"/>
  <c r="B27" i="1"/>
  <c r="B241" i="1"/>
  <c r="B235" i="1"/>
  <c r="B232" i="1"/>
  <c r="C226" i="1"/>
  <c r="B202" i="1"/>
  <c r="B190" i="1"/>
  <c r="B141" i="1"/>
  <c r="A130" i="1" l="1"/>
  <c r="B196" i="1" l="1"/>
  <c r="C193" i="1"/>
</calcChain>
</file>

<file path=xl/sharedStrings.xml><?xml version="1.0" encoding="utf-8"?>
<sst xmlns="http://schemas.openxmlformats.org/spreadsheetml/2006/main" count="296" uniqueCount="287">
  <si>
    <t xml:space="preserve">Introduction</t>
  </si>
  <si>
    <t xml:space="preserve">Pitch</t>
  </si>
  <si>
    <t xml:space="preserve">1 - Yes</t>
  </si>
  <si>
    <t xml:space="preserve">2 - No</t>
  </si>
  <si>
    <t xml:space="preserve">3 - Repeat - Long</t>
  </si>
  <si>
    <t xml:space="preserve">4 - Repeat - Short</t>
  </si>
  <si>
    <t xml:space="preserve">7 -</t>
  </si>
  <si>
    <t xml:space="preserve">8 -</t>
  </si>
  <si>
    <t xml:space="preserve"> </t>
  </si>
  <si>
    <t xml:space="preserve">0 - Pause</t>
  </si>
  <si>
    <t xml:space="preserve">9 - Repeat</t>
  </si>
  <si>
    <t xml:space="preserve">Common Pathways</t>
  </si>
  <si>
    <t xml:space="preserve">5 - Not Interested</t>
  </si>
  <si>
    <t xml:space="preserve">Recap</t>
  </si>
  <si>
    <t xml:space="preserve">Client Branding</t>
  </si>
  <si>
    <t xml:space="preserve">TCPA</t>
  </si>
  <si>
    <t xml:space="preserve">How are you?</t>
  </si>
  <si>
    <t xml:space="preserve">6 - Hesitant</t>
  </si>
  <si>
    <t xml:space="preserve">“WHY DO YOU NEED THIS INFORMATION?”</t>
  </si>
  <si>
    <t xml:space="preserve">OPTION 2</t>
  </si>
  <si>
    <t xml:space="preserve">MINIMUM REQUIREMENTS</t>
  </si>
  <si>
    <t xml:space="preserve">“WHAT COMPANY?”</t>
  </si>
  <si>
    <t xml:space="preserve">HOW MUCH?</t>
  </si>
  <si>
    <t xml:space="preserve">CALL ID QUESTIONS</t>
  </si>
  <si>
    <t xml:space="preserve">YOUR NAME?</t>
  </si>
  <si>
    <t xml:space="preserve">OPTION 3</t>
  </si>
  <si>
    <t xml:space="preserve">WHAT IS IT CALLED?</t>
  </si>
  <si>
    <t xml:space="preserve">HOW GET NUMBER?</t>
  </si>
  <si>
    <t xml:space="preserve">CONTINUE</t>
  </si>
  <si>
    <t xml:space="preserve">Company?</t>
  </si>
  <si>
    <t xml:space="preserve">WHO / FROM?</t>
  </si>
  <si>
    <t xml:space="preserve">WHAT NEXT?</t>
  </si>
  <si>
    <t xml:space="preserve"> NOT INTERESTED</t>
  </si>
  <si>
    <t xml:space="preserve">DON’T NEED RIGHT NOW</t>
  </si>
  <si>
    <t xml:space="preserve">NEXT STEPS</t>
  </si>
  <si>
    <t xml:space="preserve">DEFERMENT</t>
  </si>
  <si>
    <t xml:space="preserve">ROUND 2</t>
  </si>
  <si>
    <t xml:space="preserve">Greeting</t>
  </si>
  <si>
    <t xml:space="preserve">Gatekeeper 1</t>
  </si>
  <si>
    <t xml:space="preserve">Not Home 2</t>
  </si>
  <si>
    <t xml:space="preserve">Gatekeeper 2</t>
  </si>
  <si>
    <t xml:space="preserve">Pitch - Long Repeat</t>
  </si>
  <si>
    <t xml:space="preserve">Intro 1 (Default)</t>
  </si>
  <si>
    <t xml:space="preserve">Intro 2 (Ak/KY/LA/MA/ND/WY)</t>
  </si>
  <si>
    <t xml:space="preserve">Intro 3 - Repeat</t>
  </si>
  <si>
    <t xml:space="preserve">Survey</t>
  </si>
  <si>
    <t xml:space="preserve">TCPA Consent</t>
  </si>
  <si>
    <t xml:space="preserve">Transfer Attempt</t>
  </si>
  <si>
    <t xml:space="preserve">Rebuttals &amp; FAQ</t>
  </si>
  <si>
    <t xml:space="preserve">Recap - Short Repeat</t>
  </si>
  <si>
    <t xml:space="preserve">Recap - Long Repeat</t>
  </si>
  <si>
    <t xml:space="preserve">TCPA - Repeat</t>
  </si>
  <si>
    <t xml:space="preserve">R1.0</t>
  </si>
  <si>
    <t xml:space="preserve">R2.0</t>
  </si>
  <si>
    <t xml:space="preserve">R4.0</t>
  </si>
  <si>
    <t xml:space="preserve">R6.0</t>
  </si>
  <si>
    <t xml:space="preserve">R9.0</t>
  </si>
  <si>
    <t xml:space="preserve">R10.0</t>
  </si>
  <si>
    <t xml:space="preserve">R10.1</t>
  </si>
  <si>
    <t xml:space="preserve">R20.0</t>
  </si>
  <si>
    <t xml:space="preserve">R21.0</t>
  </si>
  <si>
    <t xml:space="preserve">R21.1</t>
  </si>
  <si>
    <t xml:space="preserve">R22.1</t>
  </si>
  <si>
    <t xml:space="preserve">R22.0</t>
  </si>
  <si>
    <t xml:space="preserve">R23.0</t>
  </si>
  <si>
    <t xml:space="preserve">R24.0</t>
  </si>
  <si>
    <t xml:space="preserve">R25.0</t>
  </si>
  <si>
    <t xml:space="preserve">R27.0</t>
  </si>
  <si>
    <t xml:space="preserve">R27.1</t>
  </si>
  <si>
    <t xml:space="preserve">R27.2</t>
  </si>
  <si>
    <t xml:space="preserve">R28.0</t>
  </si>
  <si>
    <t xml:space="preserve">R28.1</t>
  </si>
  <si>
    <t xml:space="preserve">R29.0</t>
  </si>
  <si>
    <t xml:space="preserve">R30.0</t>
  </si>
  <si>
    <t xml:space="preserve">R31.0</t>
  </si>
  <si>
    <t xml:space="preserve">R32.0</t>
  </si>
  <si>
    <t xml:space="preserve">R33.0</t>
  </si>
  <si>
    <t xml:space="preserve">R35.0</t>
  </si>
  <si>
    <t xml:space="preserve">R36.0</t>
  </si>
  <si>
    <t xml:space="preserve">R37.0</t>
  </si>
  <si>
    <t xml:space="preserve">R37.1</t>
  </si>
  <si>
    <t xml:space="preserve">Inbound Phone #:</t>
  </si>
  <si>
    <t xml:space="preserve">Customer Service #:</t>
  </si>
  <si>
    <t xml:space="preserve">Website</t>
  </si>
  <si>
    <t xml:space="preserve">Company Phone#</t>
  </si>
  <si>
    <t xml:space="preserve">Website - Repeat</t>
  </si>
  <si>
    <t xml:space="preserve">R31.1</t>
  </si>
  <si>
    <t xml:space="preserve">Company Information</t>
  </si>
  <si>
    <t xml:space="preserve">Call Center Location:</t>
  </si>
  <si>
    <t xml:space="preserve">Call Center Name:</t>
  </si>
  <si>
    <t xml:space="preserve">Phillipines</t>
  </si>
  <si>
    <t xml:space="preserve">Customer Service Email:</t>
  </si>
  <si>
    <t xml:space="preserve">Avatar Name:</t>
  </si>
  <si>
    <t xml:space="preserve">Description [1]</t>
  </si>
  <si>
    <t xml:space="preserve">Description [2]</t>
  </si>
  <si>
    <t xml:space="preserve">From [1]</t>
  </si>
  <si>
    <t xml:space="preserve">From [2]</t>
  </si>
  <si>
    <t xml:space="preserve">From [3]</t>
  </si>
  <si>
    <t xml:space="preserve">Justify [1]</t>
  </si>
  <si>
    <t xml:space="preserve">Justify [2]</t>
  </si>
  <si>
    <t xml:space="preserve">Phone [1]</t>
  </si>
  <si>
    <t xml:space="preserve">Phone [2]</t>
  </si>
  <si>
    <t xml:space="preserve">Phone [3]</t>
  </si>
  <si>
    <t xml:space="preserve">Qualify [1]</t>
  </si>
  <si>
    <t xml:space="preserve">Qualify [2]</t>
  </si>
  <si>
    <t xml:space="preserve">Who [1]</t>
  </si>
  <si>
    <t xml:space="preserve">Who [2]</t>
  </si>
  <si>
    <t xml:space="preserve">Who [3]</t>
  </si>
  <si>
    <t xml:space="preserve">What next [2]</t>
  </si>
  <si>
    <t xml:space="preserve">How get # [1]</t>
  </si>
  <si>
    <t xml:space="preserve">How much [1]</t>
  </si>
  <si>
    <t xml:space="preserve">How much [2]</t>
  </si>
  <si>
    <t xml:space="preserve">How much [3]</t>
  </si>
  <si>
    <t xml:space="preserve">Let me get you over to the specialist who can discuss the cost with you, but remember you're under no obligation to buy after the free estimate, okay?</t>
  </si>
  <si>
    <t xml:space="preserve">Savings % [3]</t>
  </si>
  <si>
    <t xml:space="preserve">How work [1]</t>
  </si>
  <si>
    <t xml:space="preserve">How work [2]</t>
  </si>
  <si>
    <t xml:space="preserve">Website [1]</t>
  </si>
  <si>
    <t xml:space="preserve">Website [2]</t>
  </si>
  <si>
    <t xml:space="preserve">Website [3]</t>
  </si>
  <si>
    <t xml:space="preserve">Scam [3]</t>
  </si>
  <si>
    <t xml:space="preserve">Greet - Not Home 2</t>
  </si>
  <si>
    <t xml:space="preserve">Greet - Gatekeeper 1</t>
  </si>
  <si>
    <t xml:space="preserve">Greet - Gatekeeper 2</t>
  </si>
  <si>
    <t xml:space="preserve">Intro - Basic</t>
  </si>
  <si>
    <t xml:space="preserve">Intro - Special</t>
  </si>
  <si>
    <t xml:space="preserve">Pitch - Full</t>
  </si>
  <si>
    <t xml:space="preserve">Pitch - Long</t>
  </si>
  <si>
    <t xml:space="preserve">Pitch - Short</t>
  </si>
  <si>
    <t xml:space="preserve">Survey - Long</t>
  </si>
  <si>
    <t xml:space="preserve">Survey - Short</t>
  </si>
  <si>
    <t xml:space="preserve">Recap - Long</t>
  </si>
  <si>
    <t xml:space="preserve">Recap - Short</t>
  </si>
  <si>
    <t xml:space="preserve">TCPA - Full</t>
  </si>
  <si>
    <t xml:space="preserve">Confirmation Close</t>
  </si>
  <si>
    <t xml:space="preserve">   </t>
  </si>
  <si>
    <t xml:space="preserve">Pitch - Short Repeat</t>
  </si>
  <si>
    <t xml:space="preserve">Survey - Full - Yes</t>
  </si>
  <si>
    <t xml:space="preserve">Okay, well we actually received this number from an online inquiry. Was that you or somebody else?</t>
  </si>
  <si>
    <t xml:space="preserve">HESITANT</t>
  </si>
  <si>
    <t xml:space="preserve">I understand that the timing of this call isn’t really convenient for you, but remember this estimate is absolutely free and actually requires no commitment from you at all.  You have nothing to lose by receiving these details, okay?</t>
  </si>
  <si>
    <t xml:space="preserve">Transfer - Handoff</t>
  </si>
  <si>
    <t xml:space="preserve">Transfer Handoff</t>
  </si>
  <si>
    <t xml:space="preserve">Company Brand</t>
  </si>
  <si>
    <t xml:space="preserve">Company Website</t>
  </si>
  <si>
    <t xml:space="preserve">Intro - Repeat</t>
  </si>
  <si>
    <t xml:space="preserve">R38</t>
  </si>
  <si>
    <t xml:space="preserve">R39</t>
  </si>
  <si>
    <t xml:space="preserve">Oh, I'm glad to hear that!</t>
  </si>
  <si>
    <t xml:space="preserve">GLAD</t>
  </si>
  <si>
    <t xml:space="preserve">How Are You?</t>
  </si>
  <si>
    <t xml:space="preserve">Premier Home Pros</t>
  </si>
  <si>
    <t xml:space="preserve">Perfect, we are really excited to see you! Now, can you please verify your address and spell your street name for me? … Thank you. And is there a unit number or gate code needed for your community? … Great. So we have both you and (other decision maker) scheduled for (date and time) to look at (full scope of work), with a minimum of 60 minutes set aside — fair enough? You'll also get a courtesy text and/or a call, and you can just reply Y to confirm. Oh, and if we're having trouble finding you or we're running a couple of minutes late, what's another number we can use to contact you at?</t>
  </si>
  <si>
    <t xml:space="preserve">Again, I would hate to give you any misleading or incorrect information, since I am not a specialist.  My job is just to see if you qualify for the program. Now would you like me to proceed and make arrangements to have a qualified specialist answer those questions for you?</t>
  </si>
  <si>
    <t xml:space="preserve">Ok well we actually received this number from an online inquiry for more information about flooring. Was that you or somebody else?</t>
  </si>
  <si>
    <t xml:space="preserve">Well the minimum qualifications do vary a bit by area, but basically I just have a few general questions. Now if you do qualify for the free estimate then our specialist will come out with samples and swatches and work up a price based on your specifications, and they'll give you all the details that you'll need to decide for yourself if new flooring would be a good fit for you or not, okay?</t>
  </si>
  <si>
    <t xml:space="preserve">You're under no obligation. This is a free service to see if new flooring would be a good option for you, okay?</t>
  </si>
  <si>
    <t xml:space="preserve">Oh, so let me ask you - would you be interested in learning more about how new flooring could add value and comfort to your home?</t>
  </si>
  <si>
    <t xml:space="preserve">Ok well the reason for my call is to follow up on the online request that you filled out to receive a FREE flooring estimate for your home. Now my job at Premier Home Pros is just to make sure that you're interested in speaking with a flooring specialist and that you do meet those minimum qualifications, okay?</t>
  </si>
  <si>
    <t xml:space="preserve">My job is just to make sure that you're interested in speaking with a flooring specialist, okay?</t>
  </si>
  <si>
    <t xml:space="preserve">The specialist will give you all the details that you'll need to decide for yourself if new flooring is going to be a good fit for you or not, okay?</t>
  </si>
  <si>
    <t xml:space="preserve">So yeah, actually all we need to do is confirm that this is the home you own and live in and that you're looking for a full replacement, and it's only going to take me a minute, okay?</t>
  </si>
  <si>
    <t xml:space="preserve">You know that's actually a really great question and it really will depend on how many rooms you have and what type of flooring you choose and what solution is right for you. I do know that there are a few options the specialist can review with you, okay?</t>
  </si>
  <si>
    <t xml:space="preserve">The specialist will review all the options with you and make sure it will be benefit for you, okay?</t>
  </si>
  <si>
    <t xml:space="preserve">So Premier Home Pros specializes in flooring and bathroom remodeling. The free in-home estimate allows us to customize our services to you and work up a price based on your personal requirements.</t>
  </si>
  <si>
    <t xml:space="preserve">That's a good question, unfortunately, I am not the best person to answer it. My job is simply to make sure you qualify for a free flooring estimate, and then to get you scheduled with a specialist. Would you like for me to go ahead and proceed?</t>
  </si>
  <si>
    <t xml:space="preserve">Okay great, thank you! Now, what are you looking to have done, and how many rooms would you like to have done? And would you say it's larger than 10 by 15 feet?</t>
  </si>
  <si>
    <t xml:space="preserve">Insurance Claim?</t>
  </si>
  <si>
    <t xml:space="preserve">Survey - Insurance/Long</t>
  </si>
  <si>
    <t xml:space="preserve">Survey - Insurance/Short</t>
  </si>
  <si>
    <t xml:space="preserve">Insurance Claim - Repeat Short</t>
  </si>
  <si>
    <t xml:space="preserve">Insurance Claim - Clarification/Repeat Long</t>
  </si>
  <si>
    <t xml:space="preserve">Okay, well the reason we ask is because for insurance claims our partners do require that you already have the check in hand — nothing out of pocket. So, is this for an insurance claim?</t>
  </si>
  <si>
    <t xml:space="preserve">Is this for an insurance claim?</t>
  </si>
  <si>
    <t xml:space="preserve">So by providing just a few pieces of information we can tell you very quickly if new flooring would be a good fit or not and then you can decide from there, okay?</t>
  </si>
  <si>
    <t xml:space="preserve">Well the minimum qualifications do vary a bit by area, but basically I just have a few general questions. Now if you do qualify for the free in-home estimate then our specialist will come out, bring samples and swatches, and work up a price based on your specifications — and they'll give you all the details that you'll need to know to decide for yourself if new flooring is going to be a good fit for you or not, okay?</t>
  </si>
  <si>
    <t xml:space="preserve">Oh, so let me ask you – would you be interested in learning more about how new flooring could be a benefit for you — especially with 50% off the install this month?</t>
  </si>
  <si>
    <t xml:space="preserve">All we need to do is confirm that you meet the requirements and get your free in-home estimate scheduled. It's only going to take me a minute, okay?</t>
  </si>
  <si>
    <t xml:space="preserve">No problem. I understand. I did want to let you know that there is absolutely no obligation to you. All we're looking to do is to set up a flooring estimate, which again is absolutely free and requires no commitment; once you have the information, then you'll have all the details you'd need to make an informed decision, okay?</t>
  </si>
  <si>
    <t xml:space="preserve">Well, I'm just calling about a request for some information about flooring, but it's nothing urgent. When would be a better time to call back?</t>
  </si>
  <si>
    <t xml:space="preserve">Oh, this is actually just a quick follow-up from an online request that they made for information about getting some help with their flooring. It's actually really nothing urgent and we can just try back at another time. Thanks so much for your time today. Bye-bye. </t>
  </si>
  <si>
    <t xml:space="preserve">Oh, I was just asking about your flooring project — what are you looking to have done, and how many rooms would you like to have done?</t>
  </si>
  <si>
    <t xml:space="preserve">Okay, and what are you looking to have done, and how many rooms would you like done?</t>
  </si>
  <si>
    <t xml:space="preserve">Benefits - Own &amp; Live</t>
  </si>
  <si>
    <t xml:space="preserve">I was just saying that right now, for the month of (current month), we're offering 50% off the install of your flooring project, some incredible same-as-cash financing options, along with senior and veteran discounts — and all of our customers also qualify for 1 free room when they purchase 2. Now, I just need to ask a few quick questions, and this will only take a moment of your time, okay?</t>
  </si>
  <si>
    <t xml:space="preserve">Now, I just need to ask a few quick questions, and this will only take a moment of your time, okay?</t>
  </si>
  <si>
    <t xml:space="preserve">Yes - Scope</t>
  </si>
  <si>
    <t xml:space="preserve">HOW DOES FLOORING REPLACEMENT WORK?</t>
  </si>
  <si>
    <t xml:space="preserve">You know that's actually a great question.  It depends on the type of flooring you choose and the size of the area, among other factors. </t>
  </si>
  <si>
    <t xml:space="preserve">Alright, so here's what's going to happen.  You qualify for the free in-home estimate.  The next step is to get you on the schedule — our specialist will bring samples and swatches and work up a price based on your specifications, and then you could at least make an informed decision.  Once again, the estimate is free and requires no commitment.  We just ask that both you and any other decision maker are present and set aside a minimum of 60 minutes, okay?</t>
  </si>
  <si>
    <t xml:space="preserve">You know, I'm not a flooring specialist myself so I would hate to give you any incorrect information. What I can do is get you set up with a specialist and they'll be able to go over all the information with you, okay?</t>
  </si>
  <si>
    <t xml:space="preserve">Recap NO - Full</t>
  </si>
  <si>
    <t xml:space="preserve">Alright, now unfortunately your project would not qualify for this. I'm so sorry about that.  Thanks so much for your time and have a great day. Bye-bye.</t>
  </si>
  <si>
    <t xml:space="preserve">Survey -Not Qualify</t>
  </si>
  <si>
    <t xml:space="preserve">Insurance - No Check In Hand</t>
  </si>
  <si>
    <t xml:space="preserve">TCPA - Long Repeat</t>
  </si>
  <si>
    <t xml:space="preserve">Now just so you know, Premier Home Pros may use an automatic dialing system, just like what I've used today, to contact you at this number, even if it's a wireless number — including a courtesy text and/or a call to confirm your appointment. And then, with your permission, they'll call you even if you're listed on any State, Federal, or Corporate Do Not Call list. Again, you're under absolutely no obligation at all, and not required to agree to this in order to purchase flooring. Is that Okay?</t>
  </si>
  <si>
    <t xml:space="preserve">I was just saying that we may use an automatic dialing system to contact you at this number about your appointment, even if it happens to be on a Do Not Call List. Again you're under absolutely no obligation at all and not required to agree to this in order to purchase flooring. So, do you give your permission for us to call you at this number?</t>
  </si>
  <si>
    <t xml:space="preserve">TCPA - Quick Repeat</t>
  </si>
  <si>
    <t xml:space="preserve">So as I stated before, we will attempt to contact you at this number to confirm your appointment, even if you are on a Do Not Call List. Is that okay?</t>
  </si>
  <si>
    <t xml:space="preserve">Flooring Script</t>
  </si>
  <si>
    <t xml:space="preserve">Consultation [2]</t>
  </si>
  <si>
    <t xml:space="preserve">Verify Interest</t>
  </si>
  <si>
    <t xml:space="preserve">Oh, so let me ask you - would you be interested in learning more about how new flooring at your home could save you money and add value?</t>
  </si>
  <si>
    <t xml:space="preserve">Well now keep in mind you really don't have anything to lose with a free estimate. It's certainly worth checking out and taking advantage of the opportunity to get new flooring at 50% off the install, so would you like to learn more?</t>
  </si>
  <si>
    <t xml:space="preserve">Matt</t>
  </si>
  <si>
    <t xml:space="preserve">So, it’s Matt, and that’s just spelled M-A-T-T  Did you get that?</t>
  </si>
  <si>
    <t xml:space="preserve">Now, just so you're aware this call will be monitored, or recorded, for quality assurance purposes, uhm, and actually the reason we're calling today is to follow up on your inquiry about your flooring project. Right now, for the month of (current month), we're offering 50% off the install of your flooring project, some incredible same-as-cash financing options, along with senior and veteran discounts — and all of our customers also qualify for 1 free room when they purchase 2. I just need to ask a few quick questions, and it will take just a minute of your time, okay?</t>
  </si>
  <si>
    <t xml:space="preserve">Ok, sounds like you have a good idea already of what you're looking for — so you are looking to (repeat back scope and size), correct? Now I just have a few qualifying questions and first, is this the home you own and live in?</t>
  </si>
  <si>
    <t xml:space="preserve">Survey Positive Response - Own &amp; Live</t>
  </si>
  <si>
    <t xml:space="preserve">Positive - Own &amp; Live</t>
  </si>
  <si>
    <t xml:space="preserve">Survey Needs Benefits - Own &amp; Live</t>
  </si>
  <si>
    <t xml:space="preserve">Did you know new flooring is one of the quickest ways to update your home? It can really improve your home's value, comfort, and even safety. And right now, for the month of (current month), we're offering 50% off the install, some incredible same-as-cash financing options, along with senior and veteran discounts. I just have a few qualifying questions and first, is this the home you own and live in?</t>
  </si>
  <si>
    <t xml:space="preserve">I hear ya. Let me just quickly let you know how I think we can benefit you. New flooring can really increase the value and comfort of your home, and right now with 50% off the install, the same-as-cash financing options, and the senior and veteran discounts, it's more affordable than it's been in years. I just have a few qualifying questions and first, is this the home you own and live in?</t>
  </si>
  <si>
    <t xml:space="preserve">Overcome Negative Response - Own &amp; Live</t>
  </si>
  <si>
    <t xml:space="preserve">Survey Overcome Negative - Own &amp; Live</t>
  </si>
  <si>
    <t xml:space="preserve">Own &amp; Live? - Repeat Long</t>
  </si>
  <si>
    <t xml:space="preserve">Survey - Own &amp; Live/Long RP</t>
  </si>
  <si>
    <t xml:space="preserve">Survey - Own &amp; Live/Short RP</t>
  </si>
  <si>
    <t xml:space="preserve">Own &amp; Live - Repeat Short</t>
  </si>
  <si>
    <t xml:space="preserve">One of the reasons we ask is that the free in-home estimate is just for homeowners. So, I just have a few qualifying questions and first, is this the home you own and live in?</t>
  </si>
  <si>
    <t xml:space="preserve">Oh, I was just asking… if this is the home you own and live in</t>
  </si>
  <si>
    <t xml:space="preserve">Project Scope? - Long Repeat</t>
  </si>
  <si>
    <t xml:space="preserve">Project Scope - Short Repeat</t>
  </si>
  <si>
    <t xml:space="preserve">Survey -(Don’t Own)Not Qualify</t>
  </si>
  <si>
    <t xml:space="preserve">No-Don’t Own Home</t>
  </si>
  <si>
    <t xml:space="preserve">Full Replacement?</t>
  </si>
  <si>
    <t xml:space="preserve">Survey - Full Replacement?</t>
  </si>
  <si>
    <t xml:space="preserve">Okay, and this is for a full replacement, correct?</t>
  </si>
  <si>
    <t xml:space="preserve">Survey -(Answer No)Not Qualify</t>
  </si>
  <si>
    <t xml:space="preserve">No - Not Full Replacement</t>
  </si>
  <si>
    <t xml:space="preserve">Alright great, thank you! Now, next question for you — is this for an insurance claim?</t>
  </si>
  <si>
    <t xml:space="preserve">Survey - Insurance Claim</t>
  </si>
  <si>
    <t xml:space="preserve">Alright, so here's what's going to happen. You do qualify for that free in-home flooring estimate so congratulations on that! Our specialist will bring samples and swatches and work up a price based on your specifications. Now, so we can be courteous, what is your spouse's name, or the name of any other decision maker? … And at the time of the appointment, everyone is going to have a ton of questions, so we do require that both you and (other decision maker) are present and available for a minimum of 60 minutes. Now it looks like we just had a couple of spots open up for today — what works best for you two: 9am, 12pm, 3pm, or 6pm?</t>
  </si>
  <si>
    <t xml:space="preserve">Yeah, and the spots we have open would be 9am, 12pm, 3pm, or 6pm — what works best for you two?</t>
  </si>
  <si>
    <t xml:space="preserve">Okay, uhm, I'm gonna go ahead and actually get you on the schedule for that free in-home flooring estimate. And the spots that we have open would be 9am, 12pm, 3pm, or 6pm — what works best for you and (other decision maker)?</t>
  </si>
  <si>
    <t xml:space="preserve">So the company coming out to do your free in-home estimate would be Premier Home Pros.</t>
  </si>
  <si>
    <t xml:space="preserve">info@premierhomepros.com</t>
  </si>
  <si>
    <t xml:space="preserve">premierhomepros.com</t>
  </si>
  <si>
    <t xml:space="preserve">My name is Matt</t>
  </si>
  <si>
    <t xml:space="preserve">It's Matt Green</t>
  </si>
  <si>
    <t xml:space="preserve">It's M-A-T-T    G-R-E-E-N</t>
  </si>
  <si>
    <t xml:space="preserve">Its www. Premier</t>
  </si>
  <si>
    <t xml:space="preserve">home pros</t>
  </si>
  <si>
    <t xml:space="preserve">.com</t>
  </si>
  <si>
    <t xml:space="preserve">So, the specialist will come by your house for a minimum of 60 minutes with samples and swatches to discuss all the flooring options available to you and work up a price based on your specifications, okay?</t>
  </si>
  <si>
    <t xml:space="preserve">The cost will vary depending on the size of the area and the type of flooring that you decide to go with. However, one thing to remember is that right now there's 50% off the install, along with some incredible same-as-cash financing options....</t>
  </si>
  <si>
    <t xml:space="preserve">Again, I would hate to give you any misleading or incorrect information. There really are so many variables that would affect cost, like flooring type and room size, that I just can't give you an estimate now. That's why we want to send a specialist out. That specialist will be able to answer any of those questions for you, okay?</t>
  </si>
  <si>
    <t xml:space="preserve">So along with the 50% off the install for this month, all of our customers also qualify for 1 free room when they purchase 2 — plus senior and veteran discounts...</t>
  </si>
  <si>
    <t xml:space="preserve">Time To Install</t>
  </si>
  <si>
    <t xml:space="preserve">You know it's actually surprisingly pretty fast. Once all the paper work and details are worked out it can be completed within 2 to 7 days...</t>
  </si>
  <si>
    <t xml:space="preserve">Government Assitance</t>
  </si>
  <si>
    <t xml:space="preserve">This program is nothing to do with the ads you may have seen for a government assistance program. But there are still several great options available for you to upgrade your flooring...</t>
  </si>
  <si>
    <t xml:space="preserve">It is Premier  Home  Pros .com</t>
  </si>
  <si>
    <t xml:space="preserve">And again this is Matt and I'm calling on behalf of Premier Home Pros in regards to an online request for information about flooring replacement. </t>
  </si>
  <si>
    <t xml:space="preserve">Its Premier Home Pros</t>
  </si>
  <si>
    <t xml:space="preserve">Its Spelled P-R-E-M-I-E-R     ...         H-O-M-E    ...    P-R-O-S</t>
  </si>
  <si>
    <t xml:space="preserve">You know it's actually surprisingly pretty fast. Once all the paper work and details are worked out it can be completed within 2 to 7 days…</t>
  </si>
  <si>
    <t xml:space="preserve">LeafTel</t>
  </si>
  <si>
    <t xml:space="preserve">So it’s LEAFTEL, and that’s spelled, L-E-A-F-T-E-L, Did you get that?</t>
  </si>
  <si>
    <t xml:space="preserve">It's </t>
  </si>
  <si>
    <t xml:space="preserve">Busy [1]</t>
  </si>
  <si>
    <t xml:space="preserve">I understand if you're busy, but this will only take a minute, okay?</t>
  </si>
  <si>
    <t xml:space="preserve">Busy [2]</t>
  </si>
  <si>
    <t xml:space="preserve">I can be really brief, okay?</t>
  </si>
  <si>
    <t xml:space="preserve">Busy [3]</t>
  </si>
  <si>
    <t xml:space="preserve">We're almost finished, okay?</t>
  </si>
  <si>
    <t xml:space="preserve">DNC [1]</t>
  </si>
  <si>
    <t xml:space="preserve">Oh I'm so sorry about the call then… I'll go ahead and make sure we don't call you back. Thanks and you have a great day. Bye-bye.</t>
  </si>
  <si>
    <t xml:space="preserve">Address Verify [1]</t>
  </si>
  <si>
    <t xml:space="preserve">Now, so our specialist can find you, can you please verify your address and spell your street name for me?</t>
  </si>
  <si>
    <t xml:space="preserve">Gate Code [1]</t>
  </si>
  <si>
    <t xml:space="preserve">And is there a unit number or gate code needed for your community?</t>
  </si>
  <si>
    <t xml:space="preserve">Decision Maker [1]</t>
  </si>
  <si>
    <t xml:space="preserve">And so we can be courteous, what is your spouse's name — or the name of any other decision maker?</t>
  </si>
  <si>
    <t xml:space="preserve">Assumptive Close [1]</t>
  </si>
  <si>
    <t xml:space="preserve">Wow… I actually just had a spot open today at (time), and because we need to fill that calendar spot today it comes with an additional $250 promotion. So what I'm going to do is put you and (other decision maker) on the schedule for (time) — fair enough?</t>
  </si>
  <si>
    <t xml:space="preserve">Cross-Sell Bathrooms [1]</t>
  </si>
  <si>
    <t xml:space="preserve">Along with flooring we also specialize in bathroom remodeling, and both projects qualify for 50% off the install. While we're out there, what bathrooms would you like an estimate on?</t>
  </si>
  <si>
    <t xml:space="preserve">Alt Number [1]</t>
  </si>
  <si>
    <t xml:space="preserve">If we're having trouble finding you or are running a couple of minutes late, what's another number we can use to contact you at?</t>
  </si>
  <si>
    <t xml:space="preserve">Confirm Appt [1]</t>
  </si>
  <si>
    <t xml:space="preserve">We have both you and (other decision maker) scheduled for (date and time) to look at (full scope of work), with a minimum of 60 minutes set aside. You'll get a courtesy text and/or a call — just reply Y to confirm, okay?</t>
  </si>
  <si>
    <t xml:space="preserve">Confirm Yes [1]</t>
  </si>
  <si>
    <t xml:space="preserve">Just to confirm, is that a yes?</t>
  </si>
  <si>
    <t xml:space="preserve">Insurance Note [1]</t>
  </si>
  <si>
    <t xml:space="preserve">Okay, just so you know, for insurance claims our partners do require that you already have the check in hand — nothing out of pocket.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</si>
</sst>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lt;=9999999]###\-####;\(###\)\ ###\-####"/>
  </numFmts>
  <fonts count="16" x14ac:knownFonts="1">
    <font>
      <sz val="11"/>
      <color theme="1"/>
      <name val="Calibri"/>
      <family val="2"/>
      <scheme val="minor"/>
    </font>
    <font>
      <b/>
      <sz val="11"/>
      <color theme="1"/>
      <name val="Calibri"/>
      <family val="2"/>
      <scheme val="minor"/>
    </font>
    <font>
      <b/>
      <u/>
      <sz val="11"/>
      <color theme="1"/>
      <name val="Calibri"/>
      <family val="2"/>
      <scheme val="minor"/>
    </font>
    <font>
      <sz val="11"/>
      <color theme="4"/>
      <name val="Calibri"/>
      <family val="2"/>
      <scheme val="minor"/>
    </font>
    <font>
      <u/>
      <sz val="11"/>
      <color theme="10"/>
      <name val="Calibri"/>
      <family val="2"/>
      <scheme val="minor"/>
    </font>
    <font>
      <sz val="11"/>
      <color theme="9"/>
      <name val="Calibri"/>
      <family val="2"/>
      <scheme val="minor"/>
    </font>
    <font>
      <sz val="11"/>
      <name val="Calibri"/>
      <family val="2"/>
      <scheme val="minor"/>
    </font>
    <font>
      <b/>
      <sz val="11"/>
      <color theme="4"/>
      <name val="Calibri"/>
      <family val="2"/>
      <scheme val="minor"/>
    </font>
    <font>
      <sz val="11"/>
      <color rgb="FFFF0000"/>
      <name val="Calibri"/>
      <family val="2"/>
      <scheme val="minor"/>
    </font>
    <font>
      <sz val="11"/>
      <color theme="1"/>
      <name val="Calibri Light"/>
      <family val="2"/>
      <scheme val="major"/>
    </font>
    <font>
      <b/>
      <sz val="11"/>
      <color theme="1"/>
      <name val="Calibri"/>
      <family val="2"/>
    </font>
    <font>
      <sz val="11"/>
      <color theme="1"/>
      <name val="Calibri"/>
      <family val="2"/>
    </font>
    <font>
      <b/>
      <sz val="10"/>
      <color rgb="FFFF0000"/>
      <name val="Calibri"/>
      <family val="2"/>
      <scheme val="minor"/>
    </font>
    <font>
      <b/>
      <sz val="11"/>
      <name val="Calibri"/>
      <family val="2"/>
      <scheme val="minor"/>
    </font>
    <font>
      <sz val="11"/>
      <color rgb="FF000000"/>
      <name val="Calibri"/>
      <family val="2"/>
      <scheme val="minor"/>
    </font>
    <font>
      <sz val="11"/>
      <color rgb="FF000000"/>
      <name val="Aptos"/>
      <family val="2"/>
    </font>
  </fonts>
  <fills count="5">
    <fill>
      <patternFill patternType="none"/>
    </fill>
    <fill>
      <patternFill patternType="gray125"/>
    </fill>
    <fill>
      <patternFill patternType="solid">
        <fgColor theme="4" tint="0.39997558519241921"/>
        <bgColor indexed="64"/>
      </patternFill>
    </fill>
    <fill>
      <patternFill patternType="solid">
        <fgColor theme="9" tint="0.79998168889431442"/>
        <bgColor indexed="64"/>
      </patternFill>
    </fill>
    <fill>
      <patternFill patternType="solid">
        <fgColor theme="0"/>
        <bgColor indexed="64"/>
      </patternFill>
    </fill>
  </fills>
  <borders count="2">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s>
  <cellStyleXfs count="2">
    <xf numFmtId="0" fontId="0" fillId="0" borderId="0"/>
    <xf numFmtId="0" fontId="4" fillId="0" borderId="0" applyNumberFormat="0" applyFill="0" applyBorder="0" applyAlignment="0" applyProtection="0"/>
  </cellStyleXfs>
  <cellXfs count="52">
    <xf numFmtId="0" fontId="0" fillId="0" borderId="0" xfId="0"/>
    <xf numFmtId="0" fontId="1" fillId="0" borderId="0" xfId="0" applyFont="1"/>
    <xf numFmtId="0" fontId="0" fillId="0" borderId="0" xfId="0" applyAlignment="1">
      <alignment wrapText="1"/>
    </xf>
    <xf numFmtId="0" fontId="0" fillId="0" borderId="0" xfId="0" applyAlignment="1">
      <alignment horizontal="left" wrapText="1"/>
    </xf>
    <xf numFmtId="0" fontId="0" fillId="0" borderId="0" xfId="0" applyAlignment="1">
      <alignment horizontal="left" indent="1"/>
    </xf>
    <xf numFmtId="0" fontId="0" fillId="0" borderId="1" xfId="0" applyBorder="1" applyAlignment="1">
      <alignment horizontal="left" indent="1"/>
    </xf>
    <xf numFmtId="0" fontId="1" fillId="0" borderId="0" xfId="0" applyFont="1" applyAlignment="1">
      <alignment horizontal="left" indent="1"/>
    </xf>
    <xf numFmtId="0" fontId="0" fillId="0" borderId="0" xfId="0" quotePrefix="1" applyAlignment="1">
      <alignment horizontal="left" indent="1"/>
    </xf>
    <xf numFmtId="0" fontId="1" fillId="0" borderId="0" xfId="0" applyFont="1" applyAlignment="1">
      <alignment horizontal="left" wrapText="1"/>
    </xf>
    <xf numFmtId="0" fontId="2" fillId="0" borderId="0" xfId="0" applyFont="1"/>
    <xf numFmtId="0" fontId="0" fillId="0" borderId="0" xfId="0" applyAlignment="1">
      <alignment horizontal="left"/>
    </xf>
    <xf numFmtId="165" fontId="0" fillId="0" borderId="0" xfId="0" applyNumberFormat="1" applyAlignment="1">
      <alignment horizontal="left" indent="1"/>
    </xf>
    <xf numFmtId="0" fontId="3" fillId="0" borderId="0" xfId="0" applyFont="1"/>
    <xf numFmtId="0" fontId="4" fillId="0" borderId="0" xfId="1" applyAlignment="1">
      <alignment horizontal="left" indent="1"/>
    </xf>
    <xf numFmtId="0" fontId="3" fillId="0" borderId="0" xfId="0" applyFont="1" applyAlignment="1">
      <alignment vertical="top" wrapText="1"/>
    </xf>
    <xf numFmtId="0" fontId="3" fillId="0" borderId="0" xfId="0" applyFont="1" applyAlignment="1">
      <alignment wrapText="1"/>
    </xf>
    <xf numFmtId="0" fontId="3" fillId="0" borderId="0" xfId="0" applyFont="1" applyAlignment="1">
      <alignment horizontal="left" wrapText="1"/>
    </xf>
    <xf numFmtId="0" fontId="3" fillId="0" borderId="0" xfId="0" applyFont="1" applyAlignment="1">
      <alignment horizontal="left" indent="1"/>
    </xf>
    <xf numFmtId="0" fontId="5" fillId="0" borderId="0" xfId="0" applyFont="1"/>
    <xf numFmtId="0" fontId="3" fillId="0" borderId="0" xfId="0" applyFont="1" applyAlignment="1">
      <alignment horizontal="left"/>
    </xf>
    <xf numFmtId="0" fontId="1" fillId="0" borderId="0" xfId="0" applyFont="1" applyAlignment="1">
      <alignment horizontal="left"/>
    </xf>
    <xf numFmtId="0" fontId="2" fillId="0" borderId="0" xfId="0" applyFont="1" applyAlignment="1">
      <alignment horizontal="left"/>
    </xf>
    <xf numFmtId="0" fontId="7" fillId="0" borderId="0" xfId="0" applyFont="1" applyAlignment="1">
      <alignment horizontal="left"/>
    </xf>
    <xf numFmtId="0" fontId="1" fillId="0" borderId="0" xfId="0" applyFont="1" applyAlignment="1">
      <alignment wrapText="1"/>
    </xf>
    <xf numFmtId="0" fontId="3" fillId="0" borderId="0" xfId="0" applyFont="1" applyAlignment="1">
      <alignment horizontal="left" vertical="center"/>
    </xf>
    <xf numFmtId="0" fontId="0" fillId="4" borderId="0" xfId="0" applyFill="1"/>
    <xf numFmtId="0" fontId="10" fillId="0" borderId="0" xfId="0" applyFont="1" applyAlignment="1">
      <alignment horizontal="left"/>
    </xf>
    <xf numFmtId="0" fontId="11" fillId="0" borderId="0" xfId="0" applyFont="1" applyAlignment="1">
      <alignment horizontal="left"/>
    </xf>
    <xf numFmtId="0" fontId="12" fillId="0" borderId="0" xfId="0" applyFont="1" applyAlignment="1">
      <alignment horizontal="justify" vertical="center"/>
    </xf>
    <xf numFmtId="0" fontId="0" fillId="4" borderId="0" xfId="0" applyFill="1" applyAlignment="1">
      <alignment horizontal="left"/>
    </xf>
    <xf numFmtId="0" fontId="14" fillId="4" borderId="0" xfId="0" applyFont="1" applyFill="1" applyAlignment="1">
      <alignment horizontal="left" vertical="center" wrapText="1"/>
    </xf>
    <xf numFmtId="164" fontId="0" fillId="4" borderId="0" xfId="0" applyNumberFormat="1" applyFill="1" applyAlignment="1">
      <alignment horizontal="left"/>
    </xf>
    <xf numFmtId="0" fontId="1" fillId="4" borderId="0" xfId="0" applyFont="1" applyFill="1" applyAlignment="1">
      <alignment horizontal="left"/>
    </xf>
    <xf numFmtId="0" fontId="1" fillId="4" borderId="0" xfId="0" applyFont="1" applyFill="1"/>
    <xf numFmtId="0" fontId="0" fillId="4" borderId="0" xfId="0" applyFill="1" applyAlignment="1">
      <alignment horizontal="left" wrapText="1"/>
    </xf>
    <xf numFmtId="0" fontId="6" fillId="4" borderId="0" xfId="0" applyFont="1" applyFill="1" applyAlignment="1">
      <alignment horizontal="left"/>
    </xf>
    <xf numFmtId="0" fontId="9" fillId="0" borderId="0" xfId="0" applyFont="1" applyAlignment="1">
      <alignment horizontal="left" vertical="top" wrapText="1"/>
    </xf>
    <xf numFmtId="0" fontId="0" fillId="0" borderId="0" xfId="0" applyAlignment="1">
      <alignment horizontal="left" wrapText="1"/>
    </xf>
    <xf numFmtId="0" fontId="0" fillId="0" borderId="0" xfId="0" applyAlignment="1">
      <alignment horizontal="left"/>
    </xf>
    <xf numFmtId="0" fontId="1" fillId="0" borderId="0" xfId="0" applyFont="1" applyAlignment="1">
      <alignment horizontal="left" wrapText="1"/>
    </xf>
    <xf numFmtId="0" fontId="6" fillId="0" borderId="0" xfId="0" applyFont="1" applyAlignment="1">
      <alignment horizontal="left" wrapText="1"/>
    </xf>
    <xf numFmtId="0" fontId="1" fillId="3" borderId="0" xfId="0" applyFont="1" applyFill="1" applyAlignment="1">
      <alignment horizontal="center"/>
    </xf>
    <xf numFmtId="0" fontId="2" fillId="2" borderId="0" xfId="0" applyFont="1" applyFill="1" applyAlignment="1">
      <alignment horizontal="center"/>
    </xf>
    <xf numFmtId="0" fontId="6" fillId="4" borderId="0" xfId="0" applyFont="1" applyFill="1" applyAlignment="1">
      <alignment horizontal="left" wrapText="1"/>
    </xf>
    <xf numFmtId="0" fontId="3" fillId="0" borderId="0" xfId="0" applyFont="1" applyAlignment="1">
      <alignment horizontal="left" wrapText="1"/>
    </xf>
    <xf numFmtId="0" fontId="3" fillId="0" borderId="0" xfId="0" applyFont="1" applyAlignment="1">
      <alignment horizontal="left"/>
    </xf>
    <xf numFmtId="0" fontId="0" fillId="4" borderId="0" xfId="0" applyFill="1" applyAlignment="1">
      <alignment horizontal="left" wrapText="1"/>
    </xf>
    <xf numFmtId="0" fontId="0" fillId="4" borderId="0" xfId="0" applyFill="1" applyAlignment="1">
      <alignment horizontal="left"/>
    </xf>
    <xf numFmtId="0" fontId="13" fillId="4" borderId="0" xfId="0" applyFont="1" applyFill="1" applyAlignment="1">
      <alignment horizontal="left" wrapText="1"/>
    </xf>
    <xf numFmtId="0" fontId="0" fillId="4" borderId="0" xfId="0" applyFill="1" applyAlignment="1">
      <alignment horizontal="left" vertical="top" wrapText="1"/>
    </xf>
    <xf numFmtId="0" fontId="0" fillId="0" borderId="0" xfId="0" applyAlignment="1">
      <alignment horizontal="left" vertical="top" wrapText="1"/>
    </xf>
    <xf numFmtId="0" fontId="15"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info@premierhomepros.com" TargetMode="External"/><Relationship Id="rId1" Type="http://schemas.openxmlformats.org/officeDocument/2006/relationships/hyperlink" Target="mailto:info@premierhomepro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25F6D-5372-487E-B96A-CC96F3A3D915}">
  <dimension ref="A2:Q343"/>
  <sheetViews>
    <sheetView showGridLines="0" tabSelected="1" workbookViewId="0">
      <selection activeCell="C1" sqref="C1"/>
    </sheetView>
  </sheetViews>
  <sheetFormatPr defaultRowHeight="14.4" x14ac:dyDescent="0.3"/>
  <cols>
    <col min="1" max="1" width="44" style="20" bestFit="1" customWidth="1"/>
    <col min="2" max="2" width="17.109375" customWidth="1"/>
    <col min="3" max="3" width="109.5546875" customWidth="1"/>
    <col min="4" max="4" width="7.5546875" customWidth="1"/>
    <col min="5" max="5" width="9.109375" customWidth="1"/>
    <col min="6" max="6" width="24" style="4" customWidth="1"/>
    <col min="7" max="7" width="19.33203125" style="4" customWidth="1"/>
    <col min="8" max="8" width="6" customWidth="1"/>
    <col min="9" max="9" width="18" customWidth="1"/>
    <col min="10" max="10" width="6.109375" customWidth="1"/>
    <col min="11" max="17" width="9.109375" hidden="1" customWidth="1"/>
  </cols>
  <sheetData>
    <row r="2" spans="1:10" x14ac:dyDescent="0.3">
      <c r="A2" s="42" t="s">
        <v>200</v>
      </c>
      <c r="B2" s="42"/>
      <c r="C2" s="42"/>
    </row>
    <row r="3" spans="1:10" x14ac:dyDescent="0.3">
      <c r="I3" s="6" t="s">
        <v>11</v>
      </c>
      <c r="J3" s="4"/>
    </row>
    <row r="4" spans="1:10" x14ac:dyDescent="0.3">
      <c r="A4" s="41" t="s">
        <v>37</v>
      </c>
      <c r="B4" s="41"/>
      <c r="C4" s="41"/>
      <c r="F4" s="6" t="s">
        <v>92</v>
      </c>
      <c r="G4" s="4" t="s">
        <v>205</v>
      </c>
      <c r="I4" s="6"/>
      <c r="J4" s="4"/>
    </row>
    <row r="5" spans="1:10" x14ac:dyDescent="0.3">
      <c r="F5" s="6" t="s">
        <v>143</v>
      </c>
      <c r="G5" s="4" t="s">
        <v>151</v>
      </c>
      <c r="I5" s="5" t="s">
        <v>2</v>
      </c>
      <c r="J5" s="5" t="s">
        <v>17</v>
      </c>
    </row>
    <row r="6" spans="1:10" x14ac:dyDescent="0.3">
      <c r="A6" s="31"/>
      <c r="B6" s="1"/>
      <c r="F6" s="6" t="s">
        <v>89</v>
      </c>
      <c r="G6" s="51" t="s">
        <v>258</v>
      </c>
      <c r="I6" s="5" t="s">
        <v>3</v>
      </c>
      <c r="J6" s="5" t="s">
        <v>6</v>
      </c>
    </row>
    <row r="7" spans="1:10" x14ac:dyDescent="0.3">
      <c r="A7" s="32"/>
      <c r="F7" s="6" t="s">
        <v>88</v>
      </c>
      <c r="G7" s="4" t="s">
        <v>90</v>
      </c>
      <c r="I7" s="5" t="s">
        <v>4</v>
      </c>
      <c r="J7" s="5" t="s">
        <v>7</v>
      </c>
    </row>
    <row r="8" spans="1:10" x14ac:dyDescent="0.3">
      <c r="A8" s="32"/>
      <c r="F8" s="6" t="s">
        <v>81</v>
      </c>
      <c r="G8" s="11"/>
      <c r="I8" s="5" t="s">
        <v>5</v>
      </c>
      <c r="J8" s="5" t="s">
        <v>10</v>
      </c>
    </row>
    <row r="9" spans="1:10" x14ac:dyDescent="0.3">
      <c r="A9" s="29"/>
      <c r="C9" s="1"/>
      <c r="F9" s="6" t="s">
        <v>82</v>
      </c>
      <c r="G9" s="11"/>
      <c r="I9" s="5" t="s">
        <v>12</v>
      </c>
      <c r="J9" s="5" t="s">
        <v>9</v>
      </c>
    </row>
    <row r="10" spans="1:10" x14ac:dyDescent="0.3">
      <c r="A10" s="10"/>
      <c r="F10" s="6" t="s">
        <v>91</v>
      </c>
      <c r="G10" s="13" t="s">
        <v>237</v>
      </c>
    </row>
    <row r="11" spans="1:10" x14ac:dyDescent="0.3">
      <c r="A11" s="10"/>
      <c r="F11" s="6" t="s">
        <v>144</v>
      </c>
      <c r="G11" s="13" t="s">
        <v>238</v>
      </c>
    </row>
    <row r="12" spans="1:10" x14ac:dyDescent="0.3">
      <c r="A12" s="10" t="s">
        <v>121</v>
      </c>
      <c r="C12" s="1" t="s">
        <v>39</v>
      </c>
    </row>
    <row r="13" spans="1:10" ht="30" customHeight="1" x14ac:dyDescent="0.3">
      <c r="A13" s="10"/>
      <c r="C13" s="14" t="str">
        <f>"This is, "&amp;G4&amp;", calling on behalf of  "&amp;G5&amp;". It's really nothing urgent though and we'll just plan on calling
 back at another time, but thank you so much for your time and I hope you have a great day. Bye-bye."</f>
        <v>This is, Matt, calling on behalf of  Premier Home Pros. It's really nothing urgent though and we'll just plan on calling
 back at another time, but thank you so much for your time and I hope you have a great day. Bye-bye.</v>
      </c>
      <c r="F13" s="7"/>
    </row>
    <row r="14" spans="1:10" x14ac:dyDescent="0.3">
      <c r="A14" s="10"/>
    </row>
    <row r="15" spans="1:10" x14ac:dyDescent="0.3">
      <c r="A15" s="10" t="s">
        <v>122</v>
      </c>
      <c r="C15" s="1" t="s">
        <v>38</v>
      </c>
    </row>
    <row r="16" spans="1:10" ht="60" customHeight="1" x14ac:dyDescent="0.3">
      <c r="A16" s="10"/>
      <c r="C16" s="2" t="s">
        <v>180</v>
      </c>
    </row>
    <row r="17" spans="1:3" x14ac:dyDescent="0.3">
      <c r="A17" s="10"/>
    </row>
    <row r="18" spans="1:3" x14ac:dyDescent="0.3">
      <c r="A18" s="10" t="s">
        <v>123</v>
      </c>
      <c r="C18" s="1" t="s">
        <v>40</v>
      </c>
    </row>
    <row r="19" spans="1:3" ht="29.1" customHeight="1" x14ac:dyDescent="0.3">
      <c r="A19" s="10"/>
      <c r="C19" s="2" t="s">
        <v>179</v>
      </c>
    </row>
    <row r="20" spans="1:3" x14ac:dyDescent="0.3">
      <c r="A20" s="10"/>
    </row>
    <row r="21" spans="1:3" x14ac:dyDescent="0.3">
      <c r="A21" s="29"/>
      <c r="C21" s="1"/>
    </row>
    <row r="24" spans="1:3" x14ac:dyDescent="0.3">
      <c r="A24" s="41" t="s">
        <v>0</v>
      </c>
      <c r="B24" s="41"/>
      <c r="C24" s="41"/>
    </row>
    <row r="26" spans="1:3" x14ac:dyDescent="0.3">
      <c r="A26" s="10" t="s">
        <v>124</v>
      </c>
      <c r="B26" s="1" t="s">
        <v>42</v>
      </c>
    </row>
    <row r="27" spans="1:3" x14ac:dyDescent="0.3">
      <c r="A27" s="10"/>
      <c r="B27" s="12" t="str">
        <f>"Hi, this is, "&amp;G4&amp;", calling on behalf of "&amp;G5&amp;". How are you today?"</f>
        <v>Hi, this is, Matt, calling on behalf of the Premier Home Pros. How are you today?</v>
      </c>
    </row>
    <row r="28" spans="1:3" x14ac:dyDescent="0.3">
      <c r="A28" s="10"/>
    </row>
    <row r="29" spans="1:3" x14ac:dyDescent="0.3">
      <c r="A29" s="29" t="s">
        <v>125</v>
      </c>
      <c r="B29" s="1" t="s">
        <v>43</v>
      </c>
    </row>
    <row r="30" spans="1:3" x14ac:dyDescent="0.3">
      <c r="A30" s="10"/>
      <c r="B30" s="12" t="str">
        <f>"Hi, this is, "&amp;G4&amp;", from "&amp;G6&amp;" at, "&amp;LEFT(G8,3)&amp;"-"&amp;MID(G8,4,3)&amp;"-"&amp;RIGHT(G8,4)&amp;", calling on behalf of "&amp;G5&amp;". How are you today?"</f>
        <v>Hi, this is, Matt, from LeafTel at, --, calling on behalf of the Premier Home Pros. How are you today?</v>
      </c>
    </row>
    <row r="31" spans="1:3" x14ac:dyDescent="0.3">
      <c r="A31" s="10"/>
    </row>
    <row r="32" spans="1:3" x14ac:dyDescent="0.3">
      <c r="A32" s="10" t="s">
        <v>145</v>
      </c>
      <c r="B32" s="1" t="s">
        <v>44</v>
      </c>
    </row>
    <row r="33" spans="1:3" x14ac:dyDescent="0.3">
      <c r="B33" s="12" t="str">
        <f>"Oh, I am with "&amp;G5&amp;", and I am actually just calling back…"</f>
        <v>Oh, I am with the Premier Home Pros, and I am actually just calling back…</v>
      </c>
    </row>
    <row r="35" spans="1:3" x14ac:dyDescent="0.3">
      <c r="A35" s="29"/>
      <c r="B35" s="25"/>
      <c r="C35" s="33"/>
    </row>
    <row r="36" spans="1:3" x14ac:dyDescent="0.3">
      <c r="A36" s="29"/>
      <c r="B36" s="25"/>
      <c r="C36" s="25"/>
    </row>
    <row r="37" spans="1:3" x14ac:dyDescent="0.3">
      <c r="A37" s="29"/>
      <c r="B37" s="25"/>
      <c r="C37" s="25"/>
    </row>
    <row r="38" spans="1:3" x14ac:dyDescent="0.3">
      <c r="A38" s="29"/>
      <c r="B38" s="25"/>
      <c r="C38" s="33"/>
    </row>
    <row r="39" spans="1:3" x14ac:dyDescent="0.3">
      <c r="A39" s="29"/>
      <c r="B39" s="25"/>
      <c r="C39" s="25"/>
    </row>
    <row r="40" spans="1:3" x14ac:dyDescent="0.3">
      <c r="A40" s="29"/>
      <c r="B40" s="25"/>
      <c r="C40" s="25"/>
    </row>
    <row r="41" spans="1:3" x14ac:dyDescent="0.3">
      <c r="A41" s="29"/>
      <c r="B41" s="25"/>
      <c r="C41" s="33"/>
    </row>
    <row r="42" spans="1:3" x14ac:dyDescent="0.3">
      <c r="A42" s="29"/>
      <c r="B42" s="25"/>
      <c r="C42" s="25"/>
    </row>
    <row r="43" spans="1:3" x14ac:dyDescent="0.3">
      <c r="A43" s="29"/>
      <c r="B43" s="25"/>
      <c r="C43" s="33"/>
    </row>
    <row r="44" spans="1:3" x14ac:dyDescent="0.3">
      <c r="A44" s="29"/>
      <c r="B44" s="25"/>
      <c r="C44" s="33"/>
    </row>
    <row r="45" spans="1:3" x14ac:dyDescent="0.3">
      <c r="A45" s="32"/>
      <c r="B45" s="25"/>
      <c r="C45" s="25"/>
    </row>
    <row r="47" spans="1:3" x14ac:dyDescent="0.3">
      <c r="A47" s="41" t="s">
        <v>1</v>
      </c>
      <c r="B47" s="41"/>
      <c r="C47" s="41"/>
    </row>
    <row r="49" spans="1:17" x14ac:dyDescent="0.3">
      <c r="A49" s="10" t="s">
        <v>126</v>
      </c>
      <c r="B49" s="1" t="s">
        <v>1</v>
      </c>
    </row>
    <row r="50" spans="1:17" ht="64.5" customHeight="1" x14ac:dyDescent="0.3">
      <c r="B50" s="37" t="s">
        <v>207</v>
      </c>
      <c r="C50" s="37"/>
    </row>
    <row r="51" spans="1:17" ht="15" customHeight="1" x14ac:dyDescent="0.3">
      <c r="B51" s="3"/>
      <c r="C51" s="3"/>
    </row>
    <row r="52" spans="1:17" ht="15" customHeight="1" x14ac:dyDescent="0.3">
      <c r="A52" s="10" t="s">
        <v>127</v>
      </c>
      <c r="C52" s="8" t="s">
        <v>41</v>
      </c>
    </row>
    <row r="53" spans="1:17" ht="45" customHeight="1" x14ac:dyDescent="0.3">
      <c r="A53" s="10"/>
      <c r="C53" s="3" t="s">
        <v>184</v>
      </c>
    </row>
    <row r="54" spans="1:17" ht="15" customHeight="1" x14ac:dyDescent="0.3">
      <c r="A54" s="10"/>
      <c r="C54" s="3"/>
    </row>
    <row r="55" spans="1:17" ht="15" customHeight="1" x14ac:dyDescent="0.3">
      <c r="A55" s="10" t="s">
        <v>128</v>
      </c>
      <c r="C55" s="8" t="s">
        <v>136</v>
      </c>
    </row>
    <row r="56" spans="1:17" x14ac:dyDescent="0.3">
      <c r="B56" s="3"/>
      <c r="C56" s="3" t="s">
        <v>185</v>
      </c>
    </row>
    <row r="58" spans="1:17" x14ac:dyDescent="0.3">
      <c r="A58" s="41" t="s">
        <v>45</v>
      </c>
      <c r="B58" s="41"/>
      <c r="C58" s="41"/>
    </row>
    <row r="59" spans="1:17" x14ac:dyDescent="0.3">
      <c r="A59" s="21"/>
    </row>
    <row r="60" spans="1:17" x14ac:dyDescent="0.3">
      <c r="A60" s="10" t="s">
        <v>137</v>
      </c>
      <c r="B60" s="1" t="s">
        <v>186</v>
      </c>
      <c r="E60" s="1"/>
    </row>
    <row r="61" spans="1:17" ht="53.25" customHeight="1" x14ac:dyDescent="0.3">
      <c r="B61" s="36" t="s">
        <v>166</v>
      </c>
      <c r="C61" s="36"/>
      <c r="D61" s="36"/>
      <c r="E61" s="36"/>
      <c r="F61" s="36"/>
      <c r="G61" s="36"/>
      <c r="H61" s="36"/>
      <c r="I61" s="36"/>
      <c r="J61" s="36"/>
      <c r="K61" s="36"/>
      <c r="L61" s="36"/>
      <c r="M61" s="36"/>
      <c r="N61" s="36"/>
      <c r="O61" s="36"/>
      <c r="P61" s="36"/>
      <c r="Q61" s="36"/>
    </row>
    <row r="62" spans="1:17" ht="15" customHeight="1" x14ac:dyDescent="0.3">
      <c r="B62" s="3"/>
      <c r="C62" s="3"/>
    </row>
    <row r="63" spans="1:17" ht="15" customHeight="1" x14ac:dyDescent="0.3">
      <c r="A63" s="10" t="s">
        <v>129</v>
      </c>
      <c r="B63" s="39" t="s">
        <v>222</v>
      </c>
      <c r="C63" s="39"/>
    </row>
    <row r="64" spans="1:17" ht="30" customHeight="1" x14ac:dyDescent="0.3">
      <c r="A64" s="10"/>
      <c r="B64" s="37" t="s">
        <v>181</v>
      </c>
      <c r="C64" s="37"/>
    </row>
    <row r="65" spans="1:12" ht="15" customHeight="1" x14ac:dyDescent="0.3">
      <c r="A65" s="10"/>
      <c r="B65" s="8"/>
      <c r="C65" s="8"/>
    </row>
    <row r="66" spans="1:12" ht="15" customHeight="1" x14ac:dyDescent="0.3">
      <c r="A66" s="10" t="s">
        <v>130</v>
      </c>
      <c r="B66" s="39" t="s">
        <v>223</v>
      </c>
      <c r="C66" s="39"/>
    </row>
    <row r="67" spans="1:12" ht="15" customHeight="1" x14ac:dyDescent="0.3">
      <c r="B67" s="37" t="s">
        <v>182</v>
      </c>
      <c r="C67" s="37"/>
    </row>
    <row r="68" spans="1:12" ht="15" customHeight="1" x14ac:dyDescent="0.3">
      <c r="B68" s="3"/>
      <c r="C68" s="3"/>
    </row>
    <row r="69" spans="1:12" ht="15" customHeight="1" x14ac:dyDescent="0.3">
      <c r="A69" s="10" t="s">
        <v>209</v>
      </c>
      <c r="B69" s="39" t="s">
        <v>210</v>
      </c>
      <c r="C69" s="39"/>
    </row>
    <row r="70" spans="1:12" ht="45.75" customHeight="1" x14ac:dyDescent="0.3">
      <c r="B70" s="37" t="s">
        <v>208</v>
      </c>
      <c r="C70" s="37"/>
    </row>
    <row r="71" spans="1:12" ht="15" customHeight="1" x14ac:dyDescent="0.3">
      <c r="A71" s="10" t="s">
        <v>211</v>
      </c>
      <c r="B71" s="39" t="s">
        <v>183</v>
      </c>
      <c r="C71" s="39"/>
    </row>
    <row r="72" spans="1:12" ht="81.75" customHeight="1" x14ac:dyDescent="0.3">
      <c r="B72" s="37" t="s">
        <v>212</v>
      </c>
      <c r="C72" s="37"/>
    </row>
    <row r="73" spans="1:12" ht="15" customHeight="1" x14ac:dyDescent="0.3">
      <c r="B73" s="28"/>
      <c r="C73" s="3"/>
    </row>
    <row r="74" spans="1:12" ht="15" customHeight="1" x14ac:dyDescent="0.3">
      <c r="A74" s="10" t="s">
        <v>215</v>
      </c>
      <c r="B74" s="39" t="s">
        <v>214</v>
      </c>
      <c r="C74" s="39"/>
    </row>
    <row r="75" spans="1:12" ht="95.25" customHeight="1" x14ac:dyDescent="0.3">
      <c r="B75" s="37" t="s">
        <v>213</v>
      </c>
      <c r="C75" s="37"/>
    </row>
    <row r="77" spans="1:12" x14ac:dyDescent="0.3">
      <c r="A77" s="10" t="s">
        <v>217</v>
      </c>
      <c r="B77" s="1" t="s">
        <v>216</v>
      </c>
      <c r="E77" s="1"/>
      <c r="F77"/>
    </row>
    <row r="78" spans="1:12" ht="48" customHeight="1" x14ac:dyDescent="0.3">
      <c r="B78" s="37" t="s">
        <v>220</v>
      </c>
      <c r="C78" s="38"/>
      <c r="E78" s="37"/>
      <c r="F78" s="37"/>
      <c r="G78" s="37"/>
      <c r="H78" s="37"/>
      <c r="I78" s="37"/>
      <c r="J78" s="37"/>
      <c r="K78" s="37"/>
      <c r="L78" s="37"/>
    </row>
    <row r="80" spans="1:12" x14ac:dyDescent="0.3">
      <c r="A80" s="10" t="s">
        <v>218</v>
      </c>
      <c r="B80" s="1" t="s">
        <v>219</v>
      </c>
    </row>
    <row r="81" spans="1:12" ht="15" customHeight="1" x14ac:dyDescent="0.3">
      <c r="B81" s="37" t="s">
        <v>221</v>
      </c>
      <c r="C81" s="38"/>
    </row>
    <row r="82" spans="1:12" ht="15" customHeight="1" x14ac:dyDescent="0.3">
      <c r="B82" s="3"/>
      <c r="C82" s="10"/>
    </row>
    <row r="83" spans="1:12" ht="21.75" customHeight="1" x14ac:dyDescent="0.3">
      <c r="A83" s="10" t="s">
        <v>224</v>
      </c>
      <c r="B83" s="1" t="s">
        <v>225</v>
      </c>
      <c r="C83" s="10"/>
    </row>
    <row r="84" spans="1:12" ht="33.75" customHeight="1" x14ac:dyDescent="0.3">
      <c r="B84" s="37" t="s">
        <v>192</v>
      </c>
      <c r="C84" s="38"/>
    </row>
    <row r="85" spans="1:12" ht="15.75" customHeight="1" x14ac:dyDescent="0.3">
      <c r="B85" s="3"/>
      <c r="C85" s="10"/>
    </row>
    <row r="86" spans="1:12" ht="14.25" customHeight="1" x14ac:dyDescent="0.3">
      <c r="A86" s="10" t="s">
        <v>227</v>
      </c>
      <c r="B86" s="1" t="s">
        <v>226</v>
      </c>
      <c r="C86" s="10"/>
    </row>
    <row r="87" spans="1:12" ht="18.75" customHeight="1" x14ac:dyDescent="0.3">
      <c r="B87" s="37" t="s">
        <v>228</v>
      </c>
      <c r="C87" s="38"/>
    </row>
    <row r="88" spans="1:12" ht="18.75" customHeight="1" x14ac:dyDescent="0.3">
      <c r="B88" s="3"/>
      <c r="C88" s="10"/>
    </row>
    <row r="89" spans="1:12" ht="18.75" customHeight="1" x14ac:dyDescent="0.3">
      <c r="A89" s="10" t="s">
        <v>229</v>
      </c>
      <c r="B89" s="1" t="s">
        <v>230</v>
      </c>
      <c r="C89" s="10"/>
    </row>
    <row r="90" spans="1:12" ht="33.75" customHeight="1" x14ac:dyDescent="0.3">
      <c r="B90" s="37" t="s">
        <v>192</v>
      </c>
      <c r="C90" s="38"/>
    </row>
    <row r="91" spans="1:12" ht="12" customHeight="1" x14ac:dyDescent="0.3">
      <c r="B91" s="3"/>
      <c r="C91" s="10"/>
    </row>
    <row r="92" spans="1:12" ht="18.75" customHeight="1" x14ac:dyDescent="0.3">
      <c r="A92" s="10" t="s">
        <v>232</v>
      </c>
      <c r="B92" s="26" t="s">
        <v>167</v>
      </c>
      <c r="E92" s="1"/>
      <c r="F92"/>
    </row>
    <row r="93" spans="1:12" x14ac:dyDescent="0.3">
      <c r="B93" s="27" t="s">
        <v>231</v>
      </c>
      <c r="E93" s="37"/>
      <c r="F93" s="37"/>
      <c r="G93" s="37"/>
      <c r="H93" s="37"/>
      <c r="I93" s="37"/>
      <c r="J93" s="37"/>
      <c r="K93" s="37"/>
      <c r="L93" s="37"/>
    </row>
    <row r="95" spans="1:12" x14ac:dyDescent="0.3">
      <c r="A95" s="10" t="s">
        <v>168</v>
      </c>
      <c r="B95" s="1" t="s">
        <v>171</v>
      </c>
      <c r="E95" s="1"/>
    </row>
    <row r="96" spans="1:12" ht="37.5" customHeight="1" x14ac:dyDescent="0.3">
      <c r="B96" s="37" t="s">
        <v>172</v>
      </c>
      <c r="C96" s="37"/>
      <c r="E96" s="50"/>
      <c r="F96" s="50"/>
      <c r="G96" s="50"/>
      <c r="H96" s="50"/>
      <c r="I96" s="50"/>
      <c r="J96" s="50"/>
      <c r="K96" s="50"/>
      <c r="L96" s="50"/>
    </row>
    <row r="97" spans="1:3" ht="15" customHeight="1" x14ac:dyDescent="0.3">
      <c r="B97" s="3"/>
      <c r="C97" s="3"/>
    </row>
    <row r="98" spans="1:3" ht="15" customHeight="1" x14ac:dyDescent="0.3">
      <c r="A98" s="10" t="s">
        <v>169</v>
      </c>
      <c r="B98" s="23" t="s">
        <v>170</v>
      </c>
      <c r="C98" s="23"/>
    </row>
    <row r="99" spans="1:3" ht="13.5" customHeight="1" x14ac:dyDescent="0.3">
      <c r="B99" s="37" t="s">
        <v>173</v>
      </c>
      <c r="C99" s="37"/>
    </row>
    <row r="101" spans="1:3" x14ac:dyDescent="0.3">
      <c r="A101" s="10" t="s">
        <v>193</v>
      </c>
      <c r="B101" s="1" t="s">
        <v>194</v>
      </c>
      <c r="C101" s="10"/>
    </row>
    <row r="102" spans="1:3" ht="30" customHeight="1" x14ac:dyDescent="0.3">
      <c r="B102" s="37" t="s">
        <v>192</v>
      </c>
      <c r="C102" s="38"/>
    </row>
    <row r="104" spans="1:3" x14ac:dyDescent="0.3">
      <c r="A104" s="41" t="s">
        <v>14</v>
      </c>
      <c r="B104" s="41"/>
      <c r="C104" s="41"/>
    </row>
    <row r="106" spans="1:3" x14ac:dyDescent="0.3">
      <c r="A106" s="29" t="s">
        <v>191</v>
      </c>
      <c r="B106" s="1" t="s">
        <v>13</v>
      </c>
    </row>
    <row r="107" spans="1:3" ht="53.25" customHeight="1" x14ac:dyDescent="0.3">
      <c r="B107" s="37" t="s">
        <v>233</v>
      </c>
      <c r="C107" s="38"/>
    </row>
    <row r="109" spans="1:3" x14ac:dyDescent="0.3">
      <c r="A109" s="29" t="s">
        <v>131</v>
      </c>
      <c r="B109" s="1" t="s">
        <v>50</v>
      </c>
    </row>
    <row r="110" spans="1:3" ht="30" customHeight="1" x14ac:dyDescent="0.3">
      <c r="B110" s="37" t="s">
        <v>235</v>
      </c>
      <c r="C110" s="38"/>
    </row>
    <row r="112" spans="1:3" x14ac:dyDescent="0.3">
      <c r="A112" s="29" t="s">
        <v>132</v>
      </c>
      <c r="B112" s="1" t="s">
        <v>49</v>
      </c>
    </row>
    <row r="113" spans="1:3" x14ac:dyDescent="0.3">
      <c r="B113" t="s">
        <v>234</v>
      </c>
    </row>
    <row r="115" spans="1:3" x14ac:dyDescent="0.3">
      <c r="A115" s="41" t="s">
        <v>46</v>
      </c>
      <c r="B115" s="41"/>
      <c r="C115" s="41"/>
    </row>
    <row r="117" spans="1:3" x14ac:dyDescent="0.3">
      <c r="A117" s="29" t="s">
        <v>133</v>
      </c>
      <c r="B117" s="1" t="s">
        <v>15</v>
      </c>
    </row>
    <row r="118" spans="1:3" ht="51.75" customHeight="1" x14ac:dyDescent="0.3">
      <c r="B118" s="37" t="s">
        <v>196</v>
      </c>
      <c r="C118" s="38"/>
    </row>
    <row r="119" spans="1:3" ht="15" customHeight="1" x14ac:dyDescent="0.3">
      <c r="B119" s="3"/>
      <c r="C119" s="10"/>
    </row>
    <row r="120" spans="1:3" ht="15" customHeight="1" x14ac:dyDescent="0.3">
      <c r="A120" s="29" t="s">
        <v>195</v>
      </c>
      <c r="B120" s="39" t="s">
        <v>51</v>
      </c>
      <c r="C120" s="39"/>
    </row>
    <row r="121" spans="1:3" ht="48" customHeight="1" x14ac:dyDescent="0.3">
      <c r="B121" s="37" t="s">
        <v>197</v>
      </c>
      <c r="C121" s="37"/>
    </row>
    <row r="122" spans="1:3" ht="15" customHeight="1" x14ac:dyDescent="0.3">
      <c r="B122" s="3"/>
      <c r="C122" s="10"/>
    </row>
    <row r="123" spans="1:3" x14ac:dyDescent="0.3">
      <c r="A123" s="29" t="s">
        <v>198</v>
      </c>
      <c r="B123" s="39" t="s">
        <v>51</v>
      </c>
      <c r="C123" s="39"/>
    </row>
    <row r="124" spans="1:3" ht="19.5" customHeight="1" x14ac:dyDescent="0.3">
      <c r="B124" s="37" t="s">
        <v>199</v>
      </c>
      <c r="C124" s="37"/>
    </row>
    <row r="125" spans="1:3" ht="19.5" customHeight="1" x14ac:dyDescent="0.3">
      <c r="B125" s="3"/>
      <c r="C125" s="3"/>
    </row>
    <row r="126" spans="1:3" ht="19.5" customHeight="1" x14ac:dyDescent="0.3">
      <c r="B126" s="3"/>
      <c r="C126" s="3"/>
    </row>
    <row r="128" spans="1:3" x14ac:dyDescent="0.3">
      <c r="A128" s="41" t="s">
        <v>47</v>
      </c>
      <c r="B128" s="41"/>
      <c r="C128" s="41"/>
    </row>
    <row r="129" spans="1:3" ht="30" customHeight="1" x14ac:dyDescent="0.3"/>
    <row r="130" spans="1:3" x14ac:dyDescent="0.3">
      <c r="A130" s="19" t="str">
        <f>"Transfer - "&amp;B130</f>
        <v>Transfer - Generic</v>
      </c>
      <c r="B130" s="1" t="s">
        <v>134</v>
      </c>
    </row>
    <row r="131" spans="1:3" ht="42.75" customHeight="1" x14ac:dyDescent="0.3">
      <c r="B131" s="40" t="s">
        <v>152</v>
      </c>
      <c r="C131" s="40"/>
    </row>
    <row r="133" spans="1:3" ht="30" customHeight="1" x14ac:dyDescent="0.3">
      <c r="A133" s="22"/>
    </row>
    <row r="134" spans="1:3" x14ac:dyDescent="0.3">
      <c r="A134" s="29"/>
      <c r="B134" s="33"/>
      <c r="C134" s="25"/>
    </row>
    <row r="135" spans="1:3" x14ac:dyDescent="0.3">
      <c r="A135" s="32"/>
      <c r="B135" s="49"/>
      <c r="C135" s="49"/>
    </row>
    <row r="136" spans="1:3" ht="19.5" customHeight="1" x14ac:dyDescent="0.3">
      <c r="A136" s="29"/>
      <c r="B136" s="34"/>
      <c r="C136" s="34"/>
    </row>
    <row r="137" spans="1:3" ht="20.25" customHeight="1" x14ac:dyDescent="0.3">
      <c r="A137" s="35"/>
      <c r="B137" s="48"/>
      <c r="C137" s="43"/>
    </row>
    <row r="138" spans="1:3" ht="47.25" customHeight="1" x14ac:dyDescent="0.3">
      <c r="A138" s="35"/>
      <c r="B138" s="43"/>
      <c r="C138" s="43"/>
    </row>
    <row r="139" spans="1:3" ht="19.5" customHeight="1" x14ac:dyDescent="0.3">
      <c r="B139" s="3"/>
      <c r="C139" s="3"/>
    </row>
    <row r="140" spans="1:3" x14ac:dyDescent="0.3">
      <c r="A140" s="19" t="s">
        <v>141</v>
      </c>
      <c r="B140" s="1" t="s">
        <v>142</v>
      </c>
    </row>
    <row r="141" spans="1:3" x14ac:dyDescent="0.3">
      <c r="A141" s="22"/>
      <c r="B141" s="24" t="str">
        <f>"Hi, this is "&amp;G4&amp;" with "&amp;G5&amp;" and I have a qualified candidate on the line that I would like you to help. Thank you!"</f>
        <v>Hi, this is Matt with the Premier Home Pros and I have a qualified candidate on the line that I would like you to help. Thank you!</v>
      </c>
    </row>
    <row r="142" spans="1:3" ht="30" customHeight="1" x14ac:dyDescent="0.3"/>
    <row r="143" spans="1:3" x14ac:dyDescent="0.3">
      <c r="A143" s="41" t="s">
        <v>48</v>
      </c>
      <c r="B143" s="41"/>
      <c r="C143" s="41"/>
    </row>
    <row r="144" spans="1:3" x14ac:dyDescent="0.3">
      <c r="B144" s="9"/>
    </row>
    <row r="145" spans="1:3" ht="50.4" customHeight="1" x14ac:dyDescent="0.3">
      <c r="A145" s="10" t="s">
        <v>52</v>
      </c>
      <c r="B145" s="1" t="s">
        <v>18</v>
      </c>
    </row>
    <row r="146" spans="1:3" ht="65.400000000000006" customHeight="1" x14ac:dyDescent="0.3">
      <c r="B146" s="37" t="s">
        <v>174</v>
      </c>
      <c r="C146" s="38"/>
    </row>
    <row r="147" spans="1:3" ht="40.5" customHeight="1" x14ac:dyDescent="0.3"/>
    <row r="148" spans="1:3" x14ac:dyDescent="0.3">
      <c r="A148" s="29" t="s">
        <v>53</v>
      </c>
      <c r="B148" s="1" t="s">
        <v>32</v>
      </c>
    </row>
    <row r="149" spans="1:3" ht="64.8" customHeight="1" x14ac:dyDescent="0.3">
      <c r="A149" s="10"/>
      <c r="B149" s="37" t="s">
        <v>204</v>
      </c>
      <c r="C149" s="38"/>
    </row>
    <row r="150" spans="1:3" x14ac:dyDescent="0.3">
      <c r="A150" s="10"/>
    </row>
    <row r="151" spans="1:3" x14ac:dyDescent="0.3">
      <c r="A151" s="29"/>
      <c r="B151" s="33"/>
      <c r="C151" s="25"/>
    </row>
    <row r="152" spans="1:3" x14ac:dyDescent="0.3">
      <c r="A152" s="29"/>
      <c r="B152" s="46"/>
      <c r="C152" s="47"/>
    </row>
    <row r="153" spans="1:3" x14ac:dyDescent="0.3">
      <c r="A153" s="29"/>
      <c r="B153" s="25"/>
      <c r="C153" s="25"/>
    </row>
    <row r="154" spans="1:3" x14ac:dyDescent="0.3">
      <c r="A154" s="25"/>
      <c r="B154" s="25"/>
      <c r="C154" s="33"/>
    </row>
    <row r="155" spans="1:3" x14ac:dyDescent="0.3">
      <c r="A155" s="29"/>
      <c r="B155" s="25"/>
      <c r="C155" s="25"/>
    </row>
    <row r="156" spans="1:3" x14ac:dyDescent="0.3">
      <c r="A156" s="10"/>
    </row>
    <row r="157" spans="1:3" x14ac:dyDescent="0.3">
      <c r="A157" s="10" t="s">
        <v>54</v>
      </c>
      <c r="B157" s="1" t="s">
        <v>20</v>
      </c>
    </row>
    <row r="158" spans="1:3" ht="85.8" customHeight="1" x14ac:dyDescent="0.3">
      <c r="A158" s="10"/>
      <c r="B158" s="37" t="s">
        <v>175</v>
      </c>
      <c r="C158" s="38"/>
    </row>
    <row r="159" spans="1:3" x14ac:dyDescent="0.3">
      <c r="A159" s="10"/>
    </row>
    <row r="160" spans="1:3" x14ac:dyDescent="0.3">
      <c r="A160" s="29"/>
      <c r="B160" s="33"/>
      <c r="C160" s="25"/>
    </row>
    <row r="161" spans="1:3" x14ac:dyDescent="0.3">
      <c r="A161" s="29"/>
      <c r="B161" s="25"/>
      <c r="C161" s="25"/>
    </row>
    <row r="162" spans="1:3" x14ac:dyDescent="0.3">
      <c r="A162" s="29"/>
      <c r="B162" s="25"/>
      <c r="C162" s="25"/>
    </row>
    <row r="163" spans="1:3" x14ac:dyDescent="0.3">
      <c r="A163" s="10" t="s">
        <v>55</v>
      </c>
      <c r="B163" s="1" t="s">
        <v>21</v>
      </c>
    </row>
    <row r="164" spans="1:3" ht="39" customHeight="1" x14ac:dyDescent="0.3">
      <c r="A164" s="10"/>
      <c r="B164" t="s">
        <v>236</v>
      </c>
    </row>
    <row r="165" spans="1:3" x14ac:dyDescent="0.3">
      <c r="A165" s="10"/>
    </row>
    <row r="166" spans="1:3" x14ac:dyDescent="0.3">
      <c r="A166" s="29"/>
      <c r="B166" s="33"/>
      <c r="C166" s="25"/>
    </row>
    <row r="167" spans="1:3" x14ac:dyDescent="0.3">
      <c r="A167" s="29"/>
      <c r="B167" s="25"/>
      <c r="C167" s="25"/>
    </row>
    <row r="168" spans="1:3" x14ac:dyDescent="0.3">
      <c r="A168" s="29"/>
      <c r="B168" s="25"/>
      <c r="C168" s="25"/>
    </row>
    <row r="169" spans="1:3" x14ac:dyDescent="0.3">
      <c r="A169" s="25"/>
      <c r="B169" s="25"/>
      <c r="C169" s="33"/>
    </row>
    <row r="170" spans="1:3" x14ac:dyDescent="0.3">
      <c r="A170" s="29"/>
      <c r="B170" s="25"/>
      <c r="C170" s="25"/>
    </row>
    <row r="171" spans="1:3" x14ac:dyDescent="0.3">
      <c r="A171" s="29"/>
      <c r="B171" s="25"/>
      <c r="C171" s="25"/>
    </row>
    <row r="172" spans="1:3" x14ac:dyDescent="0.3">
      <c r="A172" s="29"/>
      <c r="B172" s="33"/>
      <c r="C172" s="25"/>
    </row>
    <row r="173" spans="1:3" x14ac:dyDescent="0.3">
      <c r="A173" s="29"/>
      <c r="B173" s="46"/>
      <c r="C173" s="47"/>
    </row>
    <row r="174" spans="1:3" x14ac:dyDescent="0.3">
      <c r="A174" s="10"/>
    </row>
    <row r="175" spans="1:3" x14ac:dyDescent="0.3">
      <c r="A175" s="29" t="s">
        <v>56</v>
      </c>
      <c r="B175" s="1" t="s">
        <v>187</v>
      </c>
    </row>
    <row r="176" spans="1:3" x14ac:dyDescent="0.3">
      <c r="A176" s="10"/>
      <c r="B176" s="37" t="s">
        <v>257</v>
      </c>
      <c r="C176" s="38"/>
    </row>
    <row r="177" spans="1:6" x14ac:dyDescent="0.3">
      <c r="A177" s="10"/>
    </row>
    <row r="178" spans="1:6" x14ac:dyDescent="0.3">
      <c r="A178" s="29" t="s">
        <v>57</v>
      </c>
      <c r="B178" s="1" t="s">
        <v>22</v>
      </c>
    </row>
    <row r="179" spans="1:6" x14ac:dyDescent="0.3">
      <c r="A179" s="10"/>
      <c r="B179" s="37" t="s">
        <v>188</v>
      </c>
      <c r="C179" s="38"/>
    </row>
    <row r="180" spans="1:6" x14ac:dyDescent="0.3">
      <c r="A180" s="10"/>
    </row>
    <row r="181" spans="1:6" x14ac:dyDescent="0.3">
      <c r="A181" t="s">
        <v>58</v>
      </c>
      <c r="C181" s="1" t="s">
        <v>19</v>
      </c>
    </row>
    <row r="182" spans="1:6" ht="43.2" x14ac:dyDescent="0.3">
      <c r="A182" s="10"/>
      <c r="C182" s="2" t="s">
        <v>153</v>
      </c>
    </row>
    <row r="183" spans="1:6" x14ac:dyDescent="0.3">
      <c r="A183" s="10"/>
    </row>
    <row r="184" spans="1:6" x14ac:dyDescent="0.3">
      <c r="A184" s="10"/>
    </row>
    <row r="185" spans="1:6" ht="45" customHeight="1" x14ac:dyDescent="0.3">
      <c r="A185" s="10"/>
      <c r="F185" s="10" t="s">
        <v>135</v>
      </c>
    </row>
    <row r="186" spans="1:6" x14ac:dyDescent="0.3">
      <c r="A186" s="10" t="s">
        <v>59</v>
      </c>
      <c r="B186" s="1" t="s">
        <v>151</v>
      </c>
    </row>
    <row r="187" spans="1:6" ht="48" customHeight="1" x14ac:dyDescent="0.3">
      <c r="A187" s="10"/>
      <c r="B187" s="44" t="str">
        <f>"So, "&amp;G5&amp;" works with a network of approved companies that specialize in flooring installation. This actually allows us to customize our services to you and connect you with the most suitable company that meets your personal requirements."</f>
        <v>So, the Premier Home Pros works with a network of approved companies that specialize in flooring installation. This actually allows us to customize our services to you and connect you with the most suitable company that meets your personal requirements.</v>
      </c>
      <c r="C187" s="45"/>
    </row>
    <row r="188" spans="1:6" x14ac:dyDescent="0.3">
      <c r="A188" s="10"/>
    </row>
    <row r="189" spans="1:6" x14ac:dyDescent="0.3">
      <c r="A189" s="29" t="s">
        <v>60</v>
      </c>
      <c r="B189" s="1" t="s">
        <v>23</v>
      </c>
    </row>
    <row r="190" spans="1:6" x14ac:dyDescent="0.3">
      <c r="A190" s="10"/>
      <c r="B190" s="44" t="str">
        <f>"Well, the reason the number is sometimes different, is because we do use a few different phone numbers through different carriers 
and that just helps our efficiency, but rest assured, the number you see IS owned by "&amp;G5&amp;", and if you were to dial that, that would go directly to our customer service, okay?"</f>
        <v>Well, the reason the number is sometimes different, is because we do use a few different phone numbers through different carriers 
and that just helps our efficiency, but rest assured, the number you see IS owned by the Premier Home Pros, and if you were to dial that, that would go directly to our customer service, okay?</v>
      </c>
      <c r="C190" s="45"/>
    </row>
    <row r="191" spans="1:6" x14ac:dyDescent="0.3">
      <c r="A191" s="10"/>
    </row>
    <row r="192" spans="1:6" x14ac:dyDescent="0.3">
      <c r="A192" s="25" t="s">
        <v>61</v>
      </c>
      <c r="C192" s="1" t="s">
        <v>19</v>
      </c>
    </row>
    <row r="193" spans="1:6" ht="28.8" x14ac:dyDescent="0.3">
      <c r="A193" s="10"/>
      <c r="C193" s="16" t="str">
        <f>"Y’know that's really a technical thing, so I don’t really know the answer to it myself, but as I mentioned, if you did call it back – it does comes to us here at "&amp;G6&amp;", and that is a federal requirement, okay?"</f>
        <v>Y’know that's really a technical thing, so I don’t really know the answer to it myself, but as I mentioned, if you did call it back – it does comes to us here at LeafTel, and that is a federal requirement, okay?</v>
      </c>
    </row>
    <row r="194" spans="1:6" x14ac:dyDescent="0.3">
      <c r="A194" s="10"/>
    </row>
    <row r="195" spans="1:6" x14ac:dyDescent="0.3">
      <c r="A195" s="10" t="s">
        <v>63</v>
      </c>
      <c r="B195" s="1" t="s">
        <v>24</v>
      </c>
    </row>
    <row r="196" spans="1:6" x14ac:dyDescent="0.3">
      <c r="A196" s="10"/>
      <c r="B196" s="12" t="str">
        <f>"My name is "&amp;G4&amp;"."</f>
        <v>My name is Matt.</v>
      </c>
      <c r="F196" s="10"/>
    </row>
    <row r="197" spans="1:6" x14ac:dyDescent="0.3">
      <c r="A197" s="10"/>
      <c r="F197" s="10"/>
    </row>
    <row r="198" spans="1:6" x14ac:dyDescent="0.3">
      <c r="A198" s="25" t="s">
        <v>62</v>
      </c>
      <c r="C198" s="1" t="s">
        <v>19</v>
      </c>
      <c r="F198" s="10"/>
    </row>
    <row r="199" spans="1:6" x14ac:dyDescent="0.3">
      <c r="A199" s="10"/>
      <c r="C199" s="18" t="s">
        <v>206</v>
      </c>
      <c r="F199" s="10"/>
    </row>
    <row r="200" spans="1:6" x14ac:dyDescent="0.3">
      <c r="A200" s="10"/>
      <c r="F200" s="10"/>
    </row>
    <row r="201" spans="1:6" x14ac:dyDescent="0.3">
      <c r="A201" s="10" t="s">
        <v>64</v>
      </c>
      <c r="B201" s="1" t="s">
        <v>26</v>
      </c>
    </row>
    <row r="202" spans="1:6" x14ac:dyDescent="0.3">
      <c r="A202" s="10"/>
      <c r="B202" s="12" t="str">
        <f>"It’s called "&amp;G5&amp;"."</f>
        <v>It’s called the Premier Home Pros.</v>
      </c>
    </row>
    <row r="203" spans="1:6" x14ac:dyDescent="0.3">
      <c r="A203" s="10"/>
      <c r="F203" s="10"/>
    </row>
    <row r="204" spans="1:6" ht="30" customHeight="1" x14ac:dyDescent="0.3">
      <c r="A204" s="10" t="s">
        <v>65</v>
      </c>
      <c r="B204" s="1" t="s">
        <v>27</v>
      </c>
    </row>
    <row r="205" spans="1:6" x14ac:dyDescent="0.3">
      <c r="A205" s="10"/>
      <c r="B205" s="37" t="s">
        <v>138</v>
      </c>
      <c r="C205" s="38"/>
      <c r="F205" s="10"/>
    </row>
    <row r="206" spans="1:6" x14ac:dyDescent="0.3">
      <c r="A206" s="10"/>
      <c r="F206" s="10"/>
    </row>
    <row r="207" spans="1:6" ht="30.6" customHeight="1" x14ac:dyDescent="0.3">
      <c r="A207" s="10" t="s">
        <v>66</v>
      </c>
      <c r="B207" s="1" t="s">
        <v>28</v>
      </c>
      <c r="F207" s="10"/>
    </row>
    <row r="208" spans="1:6" x14ac:dyDescent="0.3">
      <c r="A208" s="10"/>
      <c r="B208" s="37" t="s">
        <v>176</v>
      </c>
      <c r="C208" s="38"/>
      <c r="F208" s="10"/>
    </row>
    <row r="209" spans="1:3" x14ac:dyDescent="0.3">
      <c r="A209" s="10"/>
    </row>
    <row r="210" spans="1:3" ht="30" customHeight="1" x14ac:dyDescent="0.3">
      <c r="A210" s="29"/>
      <c r="B210" s="33"/>
      <c r="C210" s="25"/>
    </row>
    <row r="211" spans="1:3" x14ac:dyDescent="0.3">
      <c r="A211" s="29"/>
      <c r="B211" s="25"/>
      <c r="C211" s="25"/>
    </row>
    <row r="212" spans="1:3" x14ac:dyDescent="0.3">
      <c r="A212" s="10"/>
    </row>
    <row r="213" spans="1:3" x14ac:dyDescent="0.3">
      <c r="A213" s="10" t="s">
        <v>67</v>
      </c>
      <c r="B213" s="1" t="s">
        <v>29</v>
      </c>
    </row>
    <row r="214" spans="1:3" x14ac:dyDescent="0.3">
      <c r="A214" s="10"/>
      <c r="B214" s="12" t="str">
        <f>G6&amp;" is contracted to make calls on behalf of "&amp;G5&amp;"."</f>
        <v>LeafTel is contracted to make calls on behalf of the Premier Home Pros.</v>
      </c>
    </row>
    <row r="215" spans="1:3" x14ac:dyDescent="0.3">
      <c r="A215" s="10"/>
    </row>
    <row r="216" spans="1:3" ht="32.25" customHeight="1" x14ac:dyDescent="0.3">
      <c r="A216" t="s">
        <v>68</v>
      </c>
      <c r="C216" s="1" t="s">
        <v>19</v>
      </c>
    </row>
    <row r="217" spans="1:3" ht="28.8" x14ac:dyDescent="0.3">
      <c r="A217"/>
      <c r="C217" s="15" t="str">
        <f>"So, "&amp;G6&amp;" is a company specializing in marketing communications. We're calling you today to follow up on an online 
request for more information about new flooring."</f>
        <v>So, LeafTel is a company specializing in marketing communications. We're calling you today to follow up on an online 
request for more information about new flooring.</v>
      </c>
    </row>
    <row r="218" spans="1:3" x14ac:dyDescent="0.3">
      <c r="A218"/>
    </row>
    <row r="219" spans="1:3" ht="55.5" customHeight="1" x14ac:dyDescent="0.3">
      <c r="A219" s="25" t="s">
        <v>69</v>
      </c>
      <c r="C219" s="1" t="s">
        <v>25</v>
      </c>
    </row>
    <row r="220" spans="1:3" x14ac:dyDescent="0.3">
      <c r="A220" s="10"/>
      <c r="C220" s="18" t="s">
        <v>259</v>
      </c>
    </row>
    <row r="221" spans="1:3" x14ac:dyDescent="0.3">
      <c r="A221" s="10"/>
    </row>
    <row r="222" spans="1:3" x14ac:dyDescent="0.3">
      <c r="A222" s="10" t="s">
        <v>70</v>
      </c>
      <c r="B222" s="1" t="s">
        <v>30</v>
      </c>
    </row>
    <row r="223" spans="1:3" x14ac:dyDescent="0.3">
      <c r="A223" s="10"/>
      <c r="B223" s="44" t="str">
        <f>"And again this is "&amp;G4&amp;" and I'm calling on behalf of "&amp;G5&amp;" in regards to an online request for information about 
new flooring."</f>
        <v>And again this is Matt and I'm calling on behalf of Premier Home Pros in regards to an online request for information about 
new flooring.</v>
      </c>
      <c r="C223" s="44"/>
    </row>
    <row r="224" spans="1:3" x14ac:dyDescent="0.3">
      <c r="A224" s="10"/>
    </row>
    <row r="225" spans="1:3" x14ac:dyDescent="0.3">
      <c r="A225" t="s">
        <v>71</v>
      </c>
      <c r="C225" s="1" t="s">
        <v>19</v>
      </c>
    </row>
    <row r="226" spans="1:3" x14ac:dyDescent="0.3">
      <c r="A226" s="10"/>
      <c r="B226" t="s">
        <v>8</v>
      </c>
      <c r="C226" s="12" t="str">
        <f>"We’re calling from a company called "&amp;G6&amp;" on behalf of "&amp;G5&amp;"."</f>
        <v>We’re calling from a company called LeafTel on behalf of the Premier Home Pros.</v>
      </c>
    </row>
    <row r="227" spans="1:3" x14ac:dyDescent="0.3">
      <c r="A227" s="10"/>
    </row>
    <row r="228" spans="1:3" x14ac:dyDescent="0.3">
      <c r="A228" s="10" t="s">
        <v>72</v>
      </c>
      <c r="B228" s="1" t="s">
        <v>31</v>
      </c>
    </row>
    <row r="229" spans="1:3" x14ac:dyDescent="0.3">
      <c r="A229" s="10"/>
      <c r="B229" s="37" t="s">
        <v>177</v>
      </c>
      <c r="C229" s="38"/>
    </row>
    <row r="230" spans="1:3" x14ac:dyDescent="0.3">
      <c r="A230" s="10"/>
    </row>
    <row r="231" spans="1:3" ht="30" customHeight="1" x14ac:dyDescent="0.3">
      <c r="A231" s="29" t="s">
        <v>73</v>
      </c>
      <c r="B231" s="1" t="s">
        <v>84</v>
      </c>
    </row>
    <row r="232" spans="1:3" x14ac:dyDescent="0.3">
      <c r="A232" s="10"/>
      <c r="B232" s="12" t="str">
        <f>"The customer service number for "&amp;G5&amp;" is: "&amp;LEFT(G9,3)&amp;"-"&amp;MID(G9,4,3)&amp;"-"&amp;RIGHT(G9,4)</f>
        <v>The customer service number for the Premier Home Pros is: --</v>
      </c>
    </row>
    <row r="233" spans="1:3" x14ac:dyDescent="0.3">
      <c r="A233" s="10"/>
    </row>
    <row r="234" spans="1:3" ht="30" customHeight="1" x14ac:dyDescent="0.3">
      <c r="A234" s="29" t="s">
        <v>74</v>
      </c>
      <c r="B234" s="1" t="s">
        <v>83</v>
      </c>
    </row>
    <row r="235" spans="1:3" x14ac:dyDescent="0.3">
      <c r="A235" s="29"/>
      <c r="B235" s="12" t="str">
        <f>"The website is: "&amp;G11</f>
        <v>The website is: premierhomepros.com</v>
      </c>
    </row>
    <row r="236" spans="1:3" x14ac:dyDescent="0.3">
      <c r="A236" s="29"/>
      <c r="B236" s="12"/>
    </row>
    <row r="237" spans="1:3" ht="24.75" customHeight="1" x14ac:dyDescent="0.3">
      <c r="A237" s="29" t="s">
        <v>86</v>
      </c>
      <c r="B237" s="1" t="s">
        <v>85</v>
      </c>
    </row>
    <row r="238" spans="1:3" x14ac:dyDescent="0.3">
      <c r="A238" s="29"/>
      <c r="B238" t="s">
        <v>253</v>
      </c>
    </row>
    <row r="239" spans="1:3" x14ac:dyDescent="0.3">
      <c r="A239" s="10"/>
    </row>
    <row r="240" spans="1:3" ht="24" customHeight="1" x14ac:dyDescent="0.3">
      <c r="A240" s="29" t="s">
        <v>75</v>
      </c>
      <c r="B240" s="1" t="s">
        <v>87</v>
      </c>
    </row>
    <row r="241" spans="1:3" x14ac:dyDescent="0.3">
      <c r="A241" s="10"/>
      <c r="B241" s="12" t="str">
        <f>"I’m calling from "&amp;G6&amp;" on behalf of "&amp;G5&amp;" at, "&amp;LEFT(G9,3)&amp;"-"&amp;MID(G9,4,3)&amp;"-"&amp;RIGHT(G9,4)</f>
        <v>I’m calling from LeafTel on behalf of the Premier Home Pros at, --</v>
      </c>
    </row>
    <row r="242" spans="1:3" x14ac:dyDescent="0.3">
      <c r="A242" s="10"/>
    </row>
    <row r="243" spans="1:3" ht="30" customHeight="1" x14ac:dyDescent="0.3">
      <c r="A243" s="10" t="s">
        <v>76</v>
      </c>
      <c r="B243" s="1" t="s">
        <v>139</v>
      </c>
    </row>
    <row r="244" spans="1:3" x14ac:dyDescent="0.3">
      <c r="A244" s="10"/>
      <c r="B244" s="37" t="s">
        <v>178</v>
      </c>
      <c r="C244" s="38"/>
    </row>
    <row r="245" spans="1:3" x14ac:dyDescent="0.3">
      <c r="A245" s="10"/>
    </row>
    <row r="246" spans="1:3" x14ac:dyDescent="0.3">
      <c r="A246" s="29" t="s">
        <v>77</v>
      </c>
      <c r="B246" s="1" t="s">
        <v>33</v>
      </c>
    </row>
    <row r="247" spans="1:3" ht="29.4" customHeight="1" x14ac:dyDescent="0.3">
      <c r="A247" s="10"/>
      <c r="B247" s="37" t="s">
        <v>140</v>
      </c>
      <c r="C247" s="38"/>
    </row>
    <row r="248" spans="1:3" x14ac:dyDescent="0.3">
      <c r="A248" s="10"/>
    </row>
    <row r="249" spans="1:3" x14ac:dyDescent="0.3">
      <c r="A249" s="29" t="s">
        <v>78</v>
      </c>
      <c r="B249" s="1" t="s">
        <v>34</v>
      </c>
    </row>
    <row r="250" spans="1:3" ht="30" customHeight="1" x14ac:dyDescent="0.3">
      <c r="A250" s="10"/>
      <c r="B250" s="37" t="s">
        <v>189</v>
      </c>
      <c r="C250" s="38"/>
    </row>
    <row r="251" spans="1:3" x14ac:dyDescent="0.3">
      <c r="A251" s="10"/>
    </row>
    <row r="252" spans="1:3" x14ac:dyDescent="0.3">
      <c r="A252" s="29" t="s">
        <v>79</v>
      </c>
      <c r="B252" s="1" t="s">
        <v>35</v>
      </c>
    </row>
    <row r="253" spans="1:3" ht="36" customHeight="1" x14ac:dyDescent="0.3">
      <c r="A253" s="10"/>
      <c r="B253" s="37" t="s">
        <v>190</v>
      </c>
      <c r="C253" s="38"/>
    </row>
    <row r="254" spans="1:3" x14ac:dyDescent="0.3">
      <c r="A254" s="10"/>
    </row>
    <row r="255" spans="1:3" x14ac:dyDescent="0.3">
      <c r="A255" t="s">
        <v>80</v>
      </c>
      <c r="C255" s="1" t="s">
        <v>36</v>
      </c>
    </row>
    <row r="256" spans="1:3" ht="28.8" x14ac:dyDescent="0.3">
      <c r="A256"/>
      <c r="C256" s="3" t="s">
        <v>165</v>
      </c>
    </row>
    <row r="257" spans="1:3" x14ac:dyDescent="0.3">
      <c r="A257"/>
    </row>
    <row r="258" spans="1:3" x14ac:dyDescent="0.3">
      <c r="A258" s="10"/>
    </row>
    <row r="259" spans="1:3" x14ac:dyDescent="0.3">
      <c r="A259" s="10" t="s">
        <v>146</v>
      </c>
      <c r="B259" s="1" t="s">
        <v>149</v>
      </c>
    </row>
    <row r="260" spans="1:3" x14ac:dyDescent="0.3">
      <c r="A260" s="10"/>
      <c r="B260" s="37" t="s">
        <v>148</v>
      </c>
      <c r="C260" s="38"/>
    </row>
    <row r="261" spans="1:3" x14ac:dyDescent="0.3">
      <c r="A261" s="10"/>
    </row>
    <row r="262" spans="1:3" x14ac:dyDescent="0.3">
      <c r="A262" s="10" t="s">
        <v>147</v>
      </c>
      <c r="B262" s="1" t="s">
        <v>150</v>
      </c>
    </row>
    <row r="263" spans="1:3" x14ac:dyDescent="0.3">
      <c r="A263" s="10"/>
      <c r="B263" s="37" t="s">
        <v>16</v>
      </c>
      <c r="C263" s="38"/>
    </row>
    <row r="264" spans="1:3" x14ac:dyDescent="0.3">
      <c r="A264" s="10"/>
    </row>
    <row r="265" spans="1:3" ht="30" customHeight="1" x14ac:dyDescent="0.3"/>
    <row r="268" spans="1:3" ht="45" customHeight="1" x14ac:dyDescent="0.3"/>
    <row r="271" spans="1:3" ht="45.75" customHeight="1" x14ac:dyDescent="0.3"/>
    <row r="277" spans="6:6" x14ac:dyDescent="0.3">
      <c r="F277" s="17"/>
    </row>
    <row r="283" spans="6:6" ht="30" customHeight="1" x14ac:dyDescent="0.3"/>
    <row r="286" spans="6:6" ht="30" customHeight="1" x14ac:dyDescent="0.3"/>
    <row r="295" ht="30" customHeight="1" x14ac:dyDescent="0.3"/>
    <row r="301" ht="30" customHeight="1" x14ac:dyDescent="0.3"/>
    <row r="307" ht="30" customHeight="1" x14ac:dyDescent="0.3"/>
    <row r="322" ht="24.75" customHeight="1" x14ac:dyDescent="0.3"/>
    <row r="325" ht="30.6" customHeight="1" x14ac:dyDescent="0.3"/>
    <row r="328" ht="45.6" customHeight="1" x14ac:dyDescent="0.3"/>
    <row r="331" ht="30" customHeight="1" x14ac:dyDescent="0.3"/>
    <row r="334" ht="30" customHeight="1" x14ac:dyDescent="0.3"/>
    <row r="337" ht="30" customHeight="1" x14ac:dyDescent="0.3"/>
    <row r="343" ht="30" customHeight="1" x14ac:dyDescent="0.3"/>
  </sheetData>
  <mergeCells count="62">
    <mergeCell ref="E93:L93"/>
    <mergeCell ref="E96:L96"/>
    <mergeCell ref="E78:L78"/>
    <mergeCell ref="B223:C223"/>
    <mergeCell ref="B75:C75"/>
    <mergeCell ref="B152:C152"/>
    <mergeCell ref="B158:C158"/>
    <mergeCell ref="B173:C173"/>
    <mergeCell ref="B176:C176"/>
    <mergeCell ref="B179:C179"/>
    <mergeCell ref="B146:C146"/>
    <mergeCell ref="B149:C149"/>
    <mergeCell ref="B137:C137"/>
    <mergeCell ref="B135:C135"/>
    <mergeCell ref="A143:C143"/>
    <mergeCell ref="B84:C84"/>
    <mergeCell ref="B87:C87"/>
    <mergeCell ref="B90:C90"/>
    <mergeCell ref="B229:C229"/>
    <mergeCell ref="B244:C244"/>
    <mergeCell ref="B247:C247"/>
    <mergeCell ref="B187:C187"/>
    <mergeCell ref="B190:C190"/>
    <mergeCell ref="B205:C205"/>
    <mergeCell ref="B208:C208"/>
    <mergeCell ref="B138:C138"/>
    <mergeCell ref="B70:C70"/>
    <mergeCell ref="B110:C110"/>
    <mergeCell ref="B120:C120"/>
    <mergeCell ref="B121:C121"/>
    <mergeCell ref="B99:C99"/>
    <mergeCell ref="A128:C128"/>
    <mergeCell ref="A2:C2"/>
    <mergeCell ref="A4:C4"/>
    <mergeCell ref="A24:C24"/>
    <mergeCell ref="A47:C47"/>
    <mergeCell ref="A58:C58"/>
    <mergeCell ref="B50:C50"/>
    <mergeCell ref="B69:C69"/>
    <mergeCell ref="B71:C71"/>
    <mergeCell ref="B74:C74"/>
    <mergeCell ref="B72:C72"/>
    <mergeCell ref="B78:C78"/>
    <mergeCell ref="B102:C102"/>
    <mergeCell ref="B123:C123"/>
    <mergeCell ref="B124:C124"/>
    <mergeCell ref="B61:Q61"/>
    <mergeCell ref="B260:C260"/>
    <mergeCell ref="B263:C263"/>
    <mergeCell ref="B96:C96"/>
    <mergeCell ref="B63:C63"/>
    <mergeCell ref="B64:C64"/>
    <mergeCell ref="B107:C107"/>
    <mergeCell ref="B81:C81"/>
    <mergeCell ref="B131:C131"/>
    <mergeCell ref="B118:C118"/>
    <mergeCell ref="B250:C250"/>
    <mergeCell ref="B253:C253"/>
    <mergeCell ref="B66:C66"/>
    <mergeCell ref="B67:C67"/>
    <mergeCell ref="A104:C104"/>
    <mergeCell ref="A115:C115"/>
  </mergeCells>
  <hyperlinks>
    <hyperlink ref="G10" r:id="rId1" xr:uid="{8488D403-257E-4FB7-99F3-1219318A49AC}"/>
    <hyperlink ref="G11" r:id="rId2" display="info@premierhomepros.com" xr:uid="{F905106E-2D00-4BD9-9E03-3BAD66E3B85E}"/>
  </hyperlinks>
  <pageMargins left="0.7" right="0.7" top="0.75" bottom="0.75" header="0.3" footer="0.3"/>
  <pageSetup orientation="portrait" verticalDpi="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BB0F8-C7FE-4635-88EA-DBF22E4291E5}">
  <dimension ref="A1:B44"/>
  <sheetViews>
    <sheetView showGridLines="0" workbookViewId="0"/>
  </sheetViews>
  <sheetFormatPr defaultRowHeight="14.4" x14ac:dyDescent="0.3"/>
  <cols>
    <col min="1" max="1" width="22.88671875" bestFit="1" customWidth="1"/>
    <col min="2" max="2" width="255.6640625" bestFit="1" customWidth="1"/>
  </cols>
  <sheetData>
    <row r="1" spans="1:2" x14ac:dyDescent="0.3">
      <c r="A1" s="25" t="s">
        <v>93</v>
      </c>
      <c r="B1" t="s">
        <v>158</v>
      </c>
    </row>
    <row r="2" spans="1:2" x14ac:dyDescent="0.3">
      <c r="A2" s="25" t="s">
        <v>94</v>
      </c>
      <c r="B2" t="s">
        <v>159</v>
      </c>
    </row>
    <row r="3" spans="1:2" x14ac:dyDescent="0.3">
      <c r="A3" t="s">
        <v>95</v>
      </c>
      <c r="B3" t="s">
        <v>254</v>
      </c>
    </row>
    <row r="4" spans="1:2" x14ac:dyDescent="0.3">
      <c r="A4" t="s">
        <v>96</v>
      </c>
      <c r="B4" t="s">
        <v>255</v>
      </c>
    </row>
    <row r="5" spans="1:2" x14ac:dyDescent="0.3">
      <c r="A5" t="s">
        <v>97</v>
      </c>
      <c r="B5" t="s">
        <v>256</v>
      </c>
    </row>
    <row r="6" spans="1:2" x14ac:dyDescent="0.3">
      <c r="A6" t="s">
        <v>98</v>
      </c>
      <c r="B6" t="s">
        <v>157</v>
      </c>
    </row>
    <row r="7" spans="1:2" x14ac:dyDescent="0.3">
      <c r="A7" t="s">
        <v>99</v>
      </c>
      <c r="B7" t="s">
        <v>156</v>
      </c>
    </row>
    <row r="8" spans="1:2" x14ac:dyDescent="0.3">
      <c r="A8" s="25" t="s">
        <v>100</v>
      </c>
      <c r="B8" t="s">
        <v>260</v>
      </c>
    </row>
    <row r="9" spans="1:2" x14ac:dyDescent="0.3">
      <c r="A9" s="25" t="s">
        <v>101</v>
      </c>
      <c r="B9" s="10"/>
    </row>
    <row r="10" spans="1:2" x14ac:dyDescent="0.3">
      <c r="A10" s="25" t="s">
        <v>102</v>
      </c>
      <c r="B10" s="10"/>
    </row>
    <row r="11" spans="1:2" x14ac:dyDescent="0.3">
      <c r="A11" t="s">
        <v>103</v>
      </c>
      <c r="B11" t="s">
        <v>155</v>
      </c>
    </row>
    <row r="12" spans="1:2" x14ac:dyDescent="0.3">
      <c r="A12" t="s">
        <v>104</v>
      </c>
      <c r="B12" t="s">
        <v>160</v>
      </c>
    </row>
    <row r="13" spans="1:2" x14ac:dyDescent="0.3">
      <c r="A13" s="25" t="s">
        <v>105</v>
      </c>
      <c r="B13" t="s">
        <v>239</v>
      </c>
    </row>
    <row r="14" spans="1:2" x14ac:dyDescent="0.3">
      <c r="A14" s="25" t="s">
        <v>106</v>
      </c>
      <c r="B14" t="s">
        <v>240</v>
      </c>
    </row>
    <row r="15" spans="1:2" x14ac:dyDescent="0.3">
      <c r="A15" s="25" t="s">
        <v>107</v>
      </c>
      <c r="B15" t="s">
        <v>241</v>
      </c>
    </row>
    <row r="16" spans="1:2" x14ac:dyDescent="0.3">
      <c r="A16" s="25" t="s">
        <v>108</v>
      </c>
      <c r="B16" t="s">
        <v>161</v>
      </c>
    </row>
    <row r="17" spans="1:2" x14ac:dyDescent="0.3">
      <c r="A17" s="25" t="s">
        <v>109</v>
      </c>
      <c r="B17" t="s">
        <v>154</v>
      </c>
    </row>
    <row r="18" spans="1:2" x14ac:dyDescent="0.3">
      <c r="A18" t="s">
        <v>110</v>
      </c>
      <c r="B18" t="s">
        <v>246</v>
      </c>
    </row>
    <row r="19" spans="1:2" x14ac:dyDescent="0.3">
      <c r="A19" s="25" t="s">
        <v>111</v>
      </c>
      <c r="B19" t="s">
        <v>247</v>
      </c>
    </row>
    <row r="20" spans="1:2" x14ac:dyDescent="0.3">
      <c r="A20" s="25" t="s">
        <v>112</v>
      </c>
      <c r="B20" t="s">
        <v>113</v>
      </c>
    </row>
    <row r="21" spans="1:2" x14ac:dyDescent="0.3">
      <c r="A21" s="25" t="s">
        <v>114</v>
      </c>
      <c r="B21" t="s">
        <v>248</v>
      </c>
    </row>
    <row r="22" spans="1:2" x14ac:dyDescent="0.3">
      <c r="A22" t="s">
        <v>115</v>
      </c>
      <c r="B22" t="s">
        <v>162</v>
      </c>
    </row>
    <row r="23" spans="1:2" x14ac:dyDescent="0.3">
      <c r="A23" t="s">
        <v>116</v>
      </c>
      <c r="B23" t="s">
        <v>163</v>
      </c>
    </row>
    <row r="24" spans="1:2" x14ac:dyDescent="0.3">
      <c r="A24" s="25" t="s">
        <v>117</v>
      </c>
      <c r="B24" s="25" t="s">
        <v>242</v>
      </c>
    </row>
    <row r="25" spans="1:2" x14ac:dyDescent="0.3">
      <c r="A25" s="25" t="s">
        <v>118</v>
      </c>
      <c r="B25" s="25" t="s">
        <v>243</v>
      </c>
    </row>
    <row r="26" spans="1:2" x14ac:dyDescent="0.3">
      <c r="A26" s="25" t="s">
        <v>119</v>
      </c>
      <c r="B26" s="25" t="s">
        <v>244</v>
      </c>
    </row>
    <row r="27" spans="1:2" x14ac:dyDescent="0.3">
      <c r="A27" s="25" t="s">
        <v>120</v>
      </c>
      <c r="B27" t="s">
        <v>164</v>
      </c>
    </row>
    <row r="28" spans="1:2" x14ac:dyDescent="0.3">
      <c r="A28" s="25" t="s">
        <v>201</v>
      </c>
      <c r="B28" t="s">
        <v>245</v>
      </c>
    </row>
    <row r="29" spans="1:2" s="25" customFormat="1" x14ac:dyDescent="0.3">
      <c r="A29" s="25" t="s">
        <v>202</v>
      </c>
      <c r="B29" t="s">
        <v>203</v>
      </c>
    </row>
    <row r="30" spans="1:2" s="25" customFormat="1" x14ac:dyDescent="0.3">
      <c r="A30" s="25" t="s">
        <v>249</v>
      </c>
      <c r="B30" s="30" t="s">
        <v>250</v>
      </c>
    </row>
    <row r="31" spans="1:2" s="25" customFormat="1" x14ac:dyDescent="0.3">
      <c r="A31" s="25" t="s">
        <v>251</v>
      </c>
      <c r="B31" t="s">
        <v>252</v>
      </c>
    </row>
    <row r="32" spans="1:2" s="25" customFormat="1" x14ac:dyDescent="0.3">
      <c r="A32" s="25" t="s">
        <v>261</v>
      </c>
      <c r="B32" t="s">
        <v>262</v>
      </c>
    </row>
    <row r="33" spans="1:2" s="25" customFormat="1" x14ac:dyDescent="0.3">
      <c r="A33" s="25" t="s">
        <v>263</v>
      </c>
      <c r="B33" t="s">
        <v>264</v>
      </c>
    </row>
    <row r="34" spans="1:2" s="25" customFormat="1" x14ac:dyDescent="0.3">
      <c r="A34" s="25" t="s">
        <v>265</v>
      </c>
      <c r="B34" t="s">
        <v>266</v>
      </c>
    </row>
    <row r="35" spans="1:2" s="25" customFormat="1" x14ac:dyDescent="0.3">
      <c r="A35" s="25" t="s">
        <v>267</v>
      </c>
      <c r="B35" t="s">
        <v>268</v>
      </c>
    </row>
    <row r="36" spans="1:2" s="25" customFormat="1" x14ac:dyDescent="0.3">
      <c r="A36" s="25" t="s">
        <v>269</v>
      </c>
      <c r="B36" t="s">
        <v>270</v>
      </c>
    </row>
    <row r="37" spans="1:2" s="25" customFormat="1" x14ac:dyDescent="0.3">
      <c r="A37" s="25" t="s">
        <v>271</v>
      </c>
      <c r="B37" t="s">
        <v>272</v>
      </c>
    </row>
    <row r="38" spans="1:2" s="25" customFormat="1" x14ac:dyDescent="0.3">
      <c r="A38" s="25" t="s">
        <v>273</v>
      </c>
      <c r="B38" t="s">
        <v>274</v>
      </c>
    </row>
    <row r="39" spans="1:2" s="25" customFormat="1" x14ac:dyDescent="0.3">
      <c r="A39" s="25" t="s">
        <v>275</v>
      </c>
      <c r="B39" t="s">
        <v>276</v>
      </c>
    </row>
    <row r="40" spans="1:2" s="25" customFormat="1" x14ac:dyDescent="0.3">
      <c r="A40" s="25" t="s">
        <v>277</v>
      </c>
      <c r="B40" t="s">
        <v>278</v>
      </c>
    </row>
    <row r="41" spans="1:2" s="25" customFormat="1" x14ac:dyDescent="0.3">
      <c r="A41" s="25" t="s">
        <v>279</v>
      </c>
      <c r="B41" t="s">
        <v>280</v>
      </c>
    </row>
    <row r="42" spans="1:2" s="25" customFormat="1" x14ac:dyDescent="0.3">
      <c r="A42" s="25" t="s">
        <v>281</v>
      </c>
      <c r="B42" t="s">
        <v>282</v>
      </c>
    </row>
    <row r="43" spans="1:2" s="25" customFormat="1" x14ac:dyDescent="0.3">
      <c r="A43" s="25" t="s">
        <v>283</v>
      </c>
      <c r="B43" t="s">
        <v>284</v>
      </c>
    </row>
    <row r="44" spans="1:2" s="25" customFormat="1" x14ac:dyDescent="0.3">
      <c r="A44" s="25" t="s">
        <v>285</v>
      </c>
      <c r="B44" t="s">
        <v>286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Flooring Script</vt:lpstr>
      <vt:lpstr>Hot Keys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Ashley Smith</dc:creator>
  <cp:lastModifiedBy>Ashley Smith</cp:lastModifiedBy>
  <dcterms:created xsi:type="dcterms:W3CDTF">2018-08-31T03:32:13Z</dcterms:created>
  <dcterms:modified xsi:type="dcterms:W3CDTF">2026-07-07T22:32:11Z</dcterms:modified>
</cp:coreProperties>
</file>