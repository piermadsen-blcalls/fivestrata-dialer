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C:\Users\Maria Theresa Leones\Desktop\Final Scripts\Uploaded Script\"/>
    </mc:Choice>
  </mc:AlternateContent>
  <xr:revisionPtr revIDLastSave="0" documentId="11_FA647EE12D7F08AADEDEFE2F1A12614F435B34B1" xr6:coauthVersionLast="47" xr6:coauthVersionMax="47" xr10:uidLastSave="{00000000-0000-0000-0000-000000000000}"/>
  <bookViews>
    <workbookView xWindow="0" yWindow="0" windowWidth="28800" windowHeight="12816" xr2:uid="{00000000-000D-0000-FFFF-FFFF00000000}"/>
  </bookViews>
  <sheets>
    <sheet name="Solar Script" sheetId="1" r:id="rId1"/>
    <sheet name="Hot Keys"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2" i="1" l="1"/>
  <c r="A125" i="1"/>
  <c r="C70" i="1"/>
  <c r="B306" i="1" l="1"/>
  <c r="B297" i="1"/>
  <c r="C291" i="1"/>
  <c r="C213" i="1"/>
  <c r="B204" i="1"/>
  <c r="B30" i="1" l="1"/>
  <c r="B33" i="1" l="1"/>
  <c r="B264" i="1" l="1"/>
  <c r="B315" i="1" l="1"/>
  <c r="B309" i="1"/>
  <c r="C300" i="1"/>
  <c r="B288" i="1"/>
  <c r="B276" i="1"/>
  <c r="B270" i="1"/>
  <c r="C267" i="1"/>
  <c r="B27" i="1"/>
  <c r="C13" i="1"/>
</calcChain>
</file>

<file path=xl/sharedStrings.xml><?xml version="1.0" encoding="utf-8"?>
<sst xmlns="http://schemas.openxmlformats.org/spreadsheetml/2006/main" count="619" uniqueCount="601">
  <si>
    <t>Home Warranty Script</t>
  </si>
  <si>
    <t>Common Pathways</t>
  </si>
  <si>
    <t>Greeting</t>
  </si>
  <si>
    <t>Avatar Name:</t>
  </si>
  <si>
    <t>Brian Lee</t>
  </si>
  <si>
    <t>Company Website:</t>
  </si>
  <si>
    <t>NationalHomeProject.com</t>
  </si>
  <si>
    <t>1 - Yes</t>
  </si>
  <si>
    <t>6 - Hesitant</t>
  </si>
  <si>
    <t>Greet - [Name]</t>
  </si>
  <si>
    <t>Call Center Name:</t>
  </si>
  <si>
    <t>Top Dial</t>
  </si>
  <si>
    <t>2 - No</t>
  </si>
  <si>
    <t>7 -</t>
  </si>
  <si>
    <t>Hello ____________?</t>
  </si>
  <si>
    <t>Call Center Location:</t>
  </si>
  <si>
    <t>Phillipines</t>
  </si>
  <si>
    <t>3 - Repeat - Long</t>
  </si>
  <si>
    <t>8 -</t>
  </si>
  <si>
    <t>Inbound Phone #:</t>
  </si>
  <si>
    <t>4 - Repeat - Short</t>
  </si>
  <si>
    <t>9 - Repeat</t>
  </si>
  <si>
    <t>Greet - Hot Home 1</t>
  </si>
  <si>
    <t>Not Home 1</t>
  </si>
  <si>
    <t>Customer Service #:</t>
  </si>
  <si>
    <t>5 - Not Interested</t>
  </si>
  <si>
    <t>0 - Pause</t>
  </si>
  <si>
    <t xml:space="preserve">Oh no problem, I'll go ahead and call back another time. Thank you so much. Bye-bye. </t>
  </si>
  <si>
    <t xml:space="preserve"> </t>
  </si>
  <si>
    <t>Customer Service Email:</t>
  </si>
  <si>
    <t>info@the-national-home-project.com</t>
  </si>
  <si>
    <t>Greet - Not Home 2</t>
  </si>
  <si>
    <t>Not Home 2</t>
  </si>
  <si>
    <t>Greet - Gatekeeper 1</t>
  </si>
  <si>
    <t>Gatekeeper 1</t>
  </si>
  <si>
    <t xml:space="preserve">Oh, this is actually just a quick follow-up from an online request that they made for information about a free home warranty. It's actually really nothing urgent and we can just try back at another time. Thanks so much for your time today. Bye-bye. </t>
  </si>
  <si>
    <t>Greet - Gatekeeper 2</t>
  </si>
  <si>
    <t>Gatekeeper 2</t>
  </si>
  <si>
    <t>Well, I'm just calling about a request for installation quote but it's nothing urgent. When would be a better time to call back?</t>
  </si>
  <si>
    <t>Greet - Wrong</t>
  </si>
  <si>
    <t>Wrong Number</t>
  </si>
  <si>
    <t xml:space="preserve">Sorry to have disturbed you – we’ll update our records immediately. Thanks, bye-bye. </t>
  </si>
  <si>
    <t>Introduction</t>
  </si>
  <si>
    <t>Intro - Basic</t>
  </si>
  <si>
    <r>
      <t>Intro 1</t>
    </r>
    <r>
      <rPr>
        <sz val="11"/>
        <rFont val="Calibri"/>
        <family val="2"/>
        <scheme val="minor"/>
      </rPr>
      <t xml:space="preserve"> (Default)</t>
    </r>
  </si>
  <si>
    <t>Intro - Special</t>
  </si>
  <si>
    <r>
      <t>Intro 2</t>
    </r>
    <r>
      <rPr>
        <sz val="11"/>
        <rFont val="Calibri"/>
        <family val="2"/>
        <scheme val="minor"/>
      </rPr>
      <t xml:space="preserve"> (Ak/KY/LA/MA/ND/WY)</t>
    </r>
  </si>
  <si>
    <t>Intro -Repeat</t>
  </si>
  <si>
    <t>Intro 3 - Repeat</t>
  </si>
  <si>
    <t>Intro - Thanks</t>
  </si>
  <si>
    <t>How are you?</t>
  </si>
  <si>
    <t>Oh, I'm doing really well. Thank you so much for asking!...</t>
  </si>
  <si>
    <t>Intro - Good</t>
  </si>
  <si>
    <t>Good!</t>
  </si>
  <si>
    <t>Great!</t>
  </si>
  <si>
    <t>Intro - Not Good</t>
  </si>
  <si>
    <t>Not Good.</t>
  </si>
  <si>
    <t>Oh, I am sorry to hear that. Well I'll keep this quick then…</t>
  </si>
  <si>
    <t>Intro - What</t>
  </si>
  <si>
    <t>What do you want?/ What's this about?</t>
  </si>
  <si>
    <t>Okay now I'm actually with the NationalHomeProject.com..</t>
  </si>
  <si>
    <t>Pitch</t>
  </si>
  <si>
    <t>Pitch - Full</t>
  </si>
  <si>
    <t>Now just so you’re aware this call will be monitored or recorded for quality assurance purposes. Now actually uhm the reason that we're calling today is because your home maybe eligible for a home warranty program that really allows you to protect all of your major systems and appliances. Now that can include things like your your AC, your heating systems, ah plumbing and kitchen units, as well as even laundry appliances. Now I just need to ask a couple of a quick questions and this will only take just a moment of your time okay?</t>
  </si>
  <si>
    <t>Pitch - Long</t>
  </si>
  <si>
    <t>Pitch - Long Repeat</t>
  </si>
  <si>
    <t xml:space="preserve">Just so you’re aware this call will be monitored or recorded for quality assurance purposes, and I just show here that you're home maybe eligible for a home warranty program which really just allows you to protect all of your major appliances and systems. Uhm your things like AC, your heating systems, ah plumbing and kitchen, as well as laundry appliances and actually just have a few questions to start off okay? </t>
  </si>
  <si>
    <t>Pitch - Short</t>
  </si>
  <si>
    <t>Pitch - Long Short</t>
  </si>
  <si>
    <t>Well, my job is just to make sure that you do meet those minimum requirements to get that free home warranty quote so it will just take a few moments of your time, okay?</t>
  </si>
  <si>
    <t>Survey</t>
  </si>
  <si>
    <t>Survey - Full</t>
  </si>
  <si>
    <t>Home?</t>
  </si>
  <si>
    <t>Okay great and thank you so much for your time. Uhhmm, Now, if you do qualify for that free quote then with your permission we'll actually pass your contact information on to a home warranty company and then they will call you back within about 24 hrs or so and they'll end up giving you all the details that you’ll need to decide for yourself if a protection plan is gonna be a a good fit for you or not. Now I do just have a few questions for you and my first question is do you own your home?</t>
  </si>
  <si>
    <t>Survey - Long</t>
  </si>
  <si>
    <t>Home? - Long Repeat</t>
  </si>
  <si>
    <t>Oh, I was just saying that that I have few quick questions for you to see if you qualify for the free quote, and my first question is do you own your home?</t>
  </si>
  <si>
    <t>Survey - Short</t>
  </si>
  <si>
    <t>Home? - Short Repeat</t>
  </si>
  <si>
    <t>Okay, and do you own your own home?</t>
  </si>
  <si>
    <t>Survey - Not Qualified</t>
  </si>
  <si>
    <t>No - Home?</t>
  </si>
  <si>
    <t>Survey - Home under 5K?</t>
  </si>
  <si>
    <t>under 5K?</t>
  </si>
  <si>
    <t>Okay great now you're home is under five thousand square feet right?</t>
  </si>
  <si>
    <t>Survey - Home under 5K Short Repeat</t>
  </si>
  <si>
    <t>under 5K Short Repeat</t>
  </si>
  <si>
    <t>Is your home under five thousand square feet?</t>
  </si>
  <si>
    <t>Survey - Replace Appliance?</t>
  </si>
  <si>
    <t>Replace Appliance?</t>
  </si>
  <si>
    <t>And then have you ever had to replace any appliances, or electrical or mechanical systems in your home?</t>
  </si>
  <si>
    <t>Survey - Replace Appliance Repeat</t>
  </si>
  <si>
    <t>Replace Appliance Repeat</t>
  </si>
  <si>
    <t>Yeah so I was wondering since living in your home have you ever replaced a major appliance or system?</t>
  </si>
  <si>
    <t>Survey - No - Replace Appliance</t>
  </si>
  <si>
    <t>No - Replace Appliance?</t>
  </si>
  <si>
    <t>Okay. Well as a home owner I'm really sure that you're aware of how how you know little things can actually add up over the years so there's a lot of cost that come with owning a home and they definitely do add up over time. Uhm all the Home warranty does is actually just a great way to be prepared and really protect yourself from those sudden expenses, you know what I mean?</t>
  </si>
  <si>
    <t>Survey - No - Replace Appliance Repeat</t>
  </si>
  <si>
    <t>No - Replace Appliance Repeat</t>
  </si>
  <si>
    <t>Oh I was just saying that there's a lot of costs that come with owning a home and they definitely do add up over time. Uhm all the Home warranty does is actually just a great way to be prepared and really protect yourself from those sudden expenses.</t>
  </si>
  <si>
    <t>Survey - Yes - Replace Appliance</t>
  </si>
  <si>
    <t>Yes - Replace Appliance?</t>
  </si>
  <si>
    <t>Well as a home owner I'm really sure that you are aware of how how you know little things can add up over the years so there's a lot of cost that come owning a home and they definitely do add up over time. Uhm all the Home warranty does is actually just a great way to be prepared and really protect yourself from those sudden expenses, you know what I mean?</t>
  </si>
  <si>
    <t>Yes - Replace Appliance Repeat</t>
  </si>
  <si>
    <t>Oh I was just saying that there's a lot of costs of owning a home and definitely add up over time. Uhm all the Home warranty does is actually just a great way to be prepared and really protect yourself from those sudden expenses.</t>
  </si>
  <si>
    <t>Survey - Benefit Repeat</t>
  </si>
  <si>
    <t>Benefit Repeat</t>
  </si>
  <si>
    <t xml:space="preserve">Now with all of these benefits, can you see the savings and protection the home warranty would provider you? </t>
  </si>
  <si>
    <t>Client Branding</t>
  </si>
  <si>
    <t>Recap - Yes - Benefits</t>
  </si>
  <si>
    <t>Yes - Benefits</t>
  </si>
  <si>
    <t>Alright great. We'll I'm glad we have a chance to speak today and just in case we do get disconnected I'll go ahead and have them give you a call back. And the companies that will be calling you back would be…</t>
  </si>
  <si>
    <t>Recap - No - Benefits</t>
  </si>
  <si>
    <t>No - Benefits</t>
  </si>
  <si>
    <t>No worries. We'll I'm glad we have a chance to speak today and just in case we do get disconnected I'll go ahead and uhm have them give you a call back. And the companies that will be calling you back would be…</t>
  </si>
  <si>
    <t>Recap - Short</t>
  </si>
  <si>
    <t>Recap - Short Repeat</t>
  </si>
  <si>
    <t>Yeah, and the companies that could be calling you would be…</t>
  </si>
  <si>
    <t>TCPA Consent</t>
  </si>
  <si>
    <t>TCPA - Full</t>
  </si>
  <si>
    <t>TCPA Full</t>
  </si>
  <si>
    <t>Now just so you know these local installer partners they may use an automatic dialing system, just like what I’ve used today to contact you at this number, even if this is a wireless number. And then, with your permission, they’ll actually call or even text you uhm even if you're listed on a State, Federal, or Corporate Do Not Call list. Again, you’re under absolutely no obligation at all. Is that Okay?</t>
  </si>
  <si>
    <t>TCPA - Long Repeat</t>
  </si>
  <si>
    <t>Oh I was actually just saying that our partners may use what's called an automatic dialing system, just like what I’ve used today to contact you at this number, uh even if it happens to be on a Do Not Call List. Now again, just like always you’re under absolutely no obligation at all. So do you give your permission for them to call or even text you at this number, would that be okay?</t>
  </si>
  <si>
    <t>TCPA - Short Repeat</t>
  </si>
  <si>
    <t>So like I said before these partners will attempt to contact you at this number even if you're on a Do Not Call List, is that okay?</t>
  </si>
  <si>
    <t>Transfer Attempt</t>
  </si>
  <si>
    <t>Generic</t>
  </si>
  <si>
    <t>Okay actually and you know uhm looking over there looks like someone is available right now for that free consultation so if it's okay with you what I'm gonna do is go ahead and transfer you over right now so just stay on the line for just a second and I'll be right with you okay?</t>
  </si>
  <si>
    <t>Generic CA</t>
  </si>
  <si>
    <t>Okay great! Uhm And you are free to opt out of sharing your information at any time. And actually, you know what it looks like, looking over there there is someone that's available for you right now to get that free consultation quote so if it's okay with you I'm gonna go ahead and transfer you over right now so just stay on the line for just a second more and I'll be right with you okay?</t>
  </si>
  <si>
    <t>Transfer - Repeat</t>
  </si>
  <si>
    <t>Transfer Repeat</t>
  </si>
  <si>
    <t>Oh I was just saying that looks like someone is available right now for that free consultation. Ah if it’s okay with you what I'm gonna do is go ahead and transfer you over right now so just stay on the line for just a second and I'll be right with you okay?</t>
  </si>
  <si>
    <t>Transfer - Handoff</t>
  </si>
  <si>
    <t>Transfer Handoff</t>
  </si>
  <si>
    <t>Hello there, this is actually Brian Lee with The-National-Home-Project.com, uhm I actually have a qualified candidate on the line with me that would like uh talk to you and get help from you. Thank you!</t>
  </si>
  <si>
    <t>Transfer - Declined</t>
  </si>
  <si>
    <t>Transfer Declined</t>
  </si>
  <si>
    <t>Oh, I didn't realize that now was a bad time. Not problem!  I'll just go ahead and make arrangements to have them call you back. Uh Once again, I just wanna thank you so much for your time with me today and I hope you have a great day!  Bye, bye.</t>
  </si>
  <si>
    <t>Transfer - Agree</t>
  </si>
  <si>
    <t>Transfer Agree</t>
  </si>
  <si>
    <t>Okay perfect, so hold on just one second I'll go ahead and connect you, and again, Thank you so much.</t>
  </si>
  <si>
    <t>Transfer - Hold</t>
  </si>
  <si>
    <t>Transfer Delay</t>
  </si>
  <si>
    <t>And thank you so much for your patience, uhm they should be with you in just a moment, okay?</t>
  </si>
  <si>
    <t>Transfer - Stall 1.0</t>
  </si>
  <si>
    <t>Sports</t>
  </si>
  <si>
    <t>So, do you follow any sports where you are?</t>
  </si>
  <si>
    <t>Transfer - Stall 1.1</t>
  </si>
  <si>
    <t>Your Team</t>
  </si>
  <si>
    <t>What’s your favorite team or um, maybe teams out there?</t>
  </si>
  <si>
    <t>Transfer - Stall 1.2</t>
  </si>
  <si>
    <t>My Team</t>
  </si>
  <si>
    <t>Well football is my favorite sport so I like college, and pro and definitely fall is my favorite season because it’s full with all of that.</t>
  </si>
  <si>
    <t>Transfer - Stall 2.0</t>
  </si>
  <si>
    <t>Weather</t>
  </si>
  <si>
    <t>So what’s the weather like where you are at?     </t>
  </si>
  <si>
    <t>Transfer - Stall 2.1</t>
  </si>
  <si>
    <t>Weather Response</t>
  </si>
  <si>
    <t>Yeah, it’s kinda about the same here.</t>
  </si>
  <si>
    <t>Transfer - Stall 3.0</t>
  </si>
  <si>
    <t>Longer</t>
  </si>
  <si>
    <t>And this won’t take much longer at all.</t>
  </si>
  <si>
    <t>Transfer - Stall 3.1</t>
  </si>
  <si>
    <t>Round 2</t>
  </si>
  <si>
    <t>And hold on just for a bit here…</t>
  </si>
  <si>
    <t>Transfer - Stall 3.2</t>
  </si>
  <si>
    <t>Round 3</t>
  </si>
  <si>
    <t>I am sorry about the delay on this, let me go ahead and try and pull in a different department for you. Just a second while I look, look that up here..</t>
  </si>
  <si>
    <t>Transfer - Stall 3.3</t>
  </si>
  <si>
    <t>Round 4</t>
  </si>
  <si>
    <t>Okay just one more second for me please…</t>
  </si>
  <si>
    <t>Transfer - Stall 4.0</t>
  </si>
  <si>
    <t>Shows</t>
  </si>
  <si>
    <t>So, do you have any favorite shows you’ve been watching lately?</t>
  </si>
  <si>
    <t>Transfer - Stall 4.1</t>
  </si>
  <si>
    <t>Not Seen</t>
  </si>
  <si>
    <t>Oh, no. I haven’t seen that one. It sounds interesting though.</t>
  </si>
  <si>
    <t>Transfer - Stall 4.2</t>
  </si>
  <si>
    <t>Enjoy</t>
  </si>
  <si>
    <t>Oh, yeah? I like watching that one too.</t>
  </si>
  <si>
    <t>Transfer - Failed</t>
  </si>
  <si>
    <t>Transfer Failed</t>
  </si>
  <si>
    <t>You know, I'm so sorry. It actually looks like that's uhm taking just a bit longer than I thought, originally. Now, I don't want to keep you holding on the line just too much longer so, what I'm going to do is just have a specialist call you back shortly, and again thank you so much for your time, I apologize for the delay but I hope you have a great day. Thank you. bye, bye.</t>
  </si>
  <si>
    <t xml:space="preserve">   </t>
  </si>
  <si>
    <t>Rebuttals &amp; FAQ</t>
  </si>
  <si>
    <t>R1.0</t>
  </si>
  <si>
    <t>“WHY DO YOU NEED THIS INFORMATION?”</t>
  </si>
  <si>
    <t>So by providing just a few pieces of information we can tell you very quickly if home warranty would be a good fit or not and then you can decide from there, okay?</t>
  </si>
  <si>
    <t>R2.0</t>
  </si>
  <si>
    <t xml:space="preserve"> NOT INTERESTED</t>
  </si>
  <si>
    <t>Well now keep in mind there's no obligation at this time. You really don't have anything to lose by at least getting a free quote. Uhm this could actually save you thousands and it's certainly worth at least your time checking it out and see what's available to you so would you like to learn more?</t>
  </si>
  <si>
    <t>R2.1</t>
  </si>
  <si>
    <t>And again you're under no obligation at all. Really this is just a free service just to see and explore if it'd be a good option for you. Okay?</t>
  </si>
  <si>
    <t>Final No</t>
  </si>
  <si>
    <t>Okay, no problem.We'll go ahead and update our records. Thanks for your time. Bye-bye</t>
  </si>
  <si>
    <t>R3.0</t>
  </si>
  <si>
    <t>Busy</t>
  </si>
  <si>
    <t>Oh I can definitely understand if your busy right now but I promise this will take just a minute okay?</t>
  </si>
  <si>
    <t>R3.1</t>
  </si>
  <si>
    <t xml:space="preserve">OPTION 2 </t>
  </si>
  <si>
    <t xml:space="preserve">No problem. We’ll go ahead and callback another time. Thank you so much. Bye-bye. </t>
  </si>
  <si>
    <t>R4.0</t>
  </si>
  <si>
    <t>MINIMUM REQUIREMENTS</t>
  </si>
  <si>
    <t>Well the minimum qualifications they do vary a bit by area, but basically I just have a few general questions and we will figure that out okay?</t>
  </si>
  <si>
    <t>R5.0</t>
  </si>
  <si>
    <t>NO MEANS NO</t>
  </si>
  <si>
    <t>R6.0</t>
  </si>
  <si>
    <t>“WHAT COMPANIES?”</t>
  </si>
  <si>
    <t>So based on your location, the companies that could be calling you would be…</t>
  </si>
  <si>
    <t>R7.0</t>
  </si>
  <si>
    <t>SCAM / WON’T DO BUSINESS OVER THE PHONE</t>
  </si>
  <si>
    <t>Well I can actually give you a website where you can go get more information if you'd like to look into this just a little bit further…</t>
  </si>
  <si>
    <t>R7.1</t>
  </si>
  <si>
    <t>OPTION 2</t>
  </si>
  <si>
    <t>R8.0</t>
  </si>
  <si>
    <t>SEND INFORMATION / WEBSITE</t>
  </si>
  <si>
    <t>Yes, definitely. I can actually give you a website where you can go get more information, but while I do have you on the phone, if you'll just give me maybe 1 or 2 minutes I can see if you'd qualify for one or not, okay?</t>
  </si>
  <si>
    <t>R9.0</t>
  </si>
  <si>
    <t>HOW DOES HOME WARRANTY WORK?</t>
  </si>
  <si>
    <t>You know that's actually a really great question and it really does uhm depend on the details of your home and appliances but you know basically a home warranty covers the cost on repair and replace of the major systems and appliances in your home. I'd actually don't have all the details but I can arrange to have one of our specialist answer your questions okay?</t>
  </si>
  <si>
    <t>R10.0</t>
  </si>
  <si>
    <t>HOW MUCH?</t>
  </si>
  <si>
    <t>The cost does vary depending on the size of your home and just how old your appliances are. Uhm that's actually why we want you to speak to a specialist and they'll be able to help answer those detailed questions for you okay?</t>
  </si>
  <si>
    <t>R10.1</t>
  </si>
  <si>
    <t>And again, I'd hate to give you any misleading or incorrect information. There really are so many variables that would affect cost and I just can't give you an estimate now. Uhm that's why we actually would like you to speak to a specialist and the specialist would be able to answer all of those detailed questions for you okay?</t>
  </si>
  <si>
    <t>OPTION 3</t>
  </si>
  <si>
    <t>So usually it's about a dollar a day but let me actually grab a specialist on the line who can give you the exact price okay? And remember you're under no obligation to buy after that free consultation okay?</t>
  </si>
  <si>
    <t>R11.0</t>
  </si>
  <si>
    <t>SAVINGS?</t>
  </si>
  <si>
    <t>So typically on an average home, a homeowner could see savings between 50% to 70% on their home warranty That could equal a couple thousand dollars a year in savings depending on where you live. Now that is just a rough average, the specialist that'll come out, they'll actually be able to give you a much more detailed answer, okay?</t>
  </si>
  <si>
    <t>R12.0</t>
  </si>
  <si>
    <t>INCENTIVES &amp; REBATES</t>
  </si>
  <si>
    <t>R13.0</t>
  </si>
  <si>
    <t>ALREADY HAD QUOTE</t>
  </si>
  <si>
    <t>Oh I definitely understand but things do change really quickly in this industry and there's actually maybe updates that might make a difference for you so you really don't have anything to loose by speaking to an agent again.</t>
  </si>
  <si>
    <t>R14.0</t>
  </si>
  <si>
    <t>CONSULTATION DETAILS</t>
  </si>
  <si>
    <t>So basically, they will come by for about a 30-60 minute consultation and they'll look at your house to determine if home warranty would be a good fit for you or not. They'll review with you all the details that you'll need to know as well as answer any questions that you may have. Then they'll obviously have a few more questions for you as well, okay?</t>
  </si>
  <si>
    <t>R15.0</t>
  </si>
  <si>
    <t>TIME TO INSTALL?</t>
  </si>
  <si>
    <t>You know it's actually surprisingly pretty fast. Once all the paper work and details are worked out it can be completed within 2 to 7 days depending on the size and layout of your roof. So yeah, it's pretty quick.</t>
  </si>
  <si>
    <t>R16.0</t>
  </si>
  <si>
    <t>SCHEDULING</t>
  </si>
  <si>
    <t>You know that specialist is actually gonna work with your schedule. At the end of the day they're gonnamake sure to schedule the consultation around what works best for you, okay?</t>
  </si>
  <si>
    <t>R17.0</t>
  </si>
  <si>
    <t>LANGUAGE BARRIER?</t>
  </si>
  <si>
    <t>Are you able to understand me clearly?</t>
  </si>
  <si>
    <t>R18.0</t>
  </si>
  <si>
    <t>RECORDING?</t>
  </si>
  <si>
    <t>Well you are actually speaking with a live person but I’m actually just using a computer for quality control purposes.</t>
  </si>
  <si>
    <t>R18.1</t>
  </si>
  <si>
    <t>I am just using a computer for quality control purposes, but again you are speaking with a live person, okay?</t>
  </si>
  <si>
    <t>R19.0</t>
  </si>
  <si>
    <t>CALL RECORDED</t>
  </si>
  <si>
    <t>This call is being recorded for quality assurance.</t>
  </si>
  <si>
    <t>R20.0</t>
  </si>
  <si>
    <t>THE-NATIONAL-HOME-PROJECT.COM</t>
  </si>
  <si>
    <t>So the NationalHomeProject.com actually works with a large network really throughout the U.S to find the best home warranty that'll fit your specific needs. Uh this actually allows us to customize our services to you as well as remove the stress that comes along with the need to repair or replace broken appliances.</t>
  </si>
  <si>
    <t>R21.0</t>
  </si>
  <si>
    <t>CALL ID QUESTIONS</t>
  </si>
  <si>
    <t>R21.1</t>
  </si>
  <si>
    <t>R22.0</t>
  </si>
  <si>
    <t>YOUR NAME?</t>
  </si>
  <si>
    <t>R22.1</t>
  </si>
  <si>
    <t>So, it’s Brian, and that’s just spelled B-R-I-A-N, and Lee is spelled L-E-E. Did you get that?</t>
  </si>
  <si>
    <t>R23.0</t>
  </si>
  <si>
    <t>WHAT IS IT CALLED?</t>
  </si>
  <si>
    <t>R24.0</t>
  </si>
  <si>
    <t>HOW GET NUMBER?</t>
  </si>
  <si>
    <t>Okay, well we actually received this number from an online inquiry. Was that you or somebody else?</t>
  </si>
  <si>
    <t>R25.0</t>
  </si>
  <si>
    <t>CONTINUE</t>
  </si>
  <si>
    <t>Oh, so let me ask you – would you be interested in learning more about how home warranty could help save you money?</t>
  </si>
  <si>
    <t>R26.0</t>
  </si>
  <si>
    <t>DO NOT CALL</t>
  </si>
  <si>
    <t>Oh I'm so sorry about the call then…I'll go ahead and make sure I don’t call you back. Thanks and you have a great day. Bye-bye.</t>
  </si>
  <si>
    <t>R27.0</t>
  </si>
  <si>
    <t>Company?</t>
  </si>
  <si>
    <t>R27.1</t>
  </si>
  <si>
    <t>R27.2</t>
  </si>
  <si>
    <t>So it’s TOP, and that’s spelled, T-O-P, and DIAL, which is spelled D-I-A-L. Did you get that?</t>
  </si>
  <si>
    <t>R28.0</t>
  </si>
  <si>
    <t>WHO / FROM?</t>
  </si>
  <si>
    <t>R28.1</t>
  </si>
  <si>
    <t>R29.0</t>
  </si>
  <si>
    <t>WHAT NEXT?</t>
  </si>
  <si>
    <t>All we need to do is confirm that you own your own home; that it's a single-family dwelling, and then who your current provider is. 
It's only going to take me a minute, okay?</t>
  </si>
  <si>
    <t>R30.0</t>
  </si>
  <si>
    <t>Company Phone#</t>
  </si>
  <si>
    <t>R31.0</t>
  </si>
  <si>
    <t>Website</t>
  </si>
  <si>
    <t>R31.1</t>
  </si>
  <si>
    <t>Website - Repeat</t>
  </si>
  <si>
    <t>So it’s the national home project.com</t>
  </si>
  <si>
    <t>R32.0</t>
  </si>
  <si>
    <t>Company Information</t>
  </si>
  <si>
    <t>R33.0</t>
  </si>
  <si>
    <t>TALK TO SOMEONE</t>
  </si>
  <si>
    <t>Oh no problem at all. I can definitely understand your need to consult someone else and again I can certainly respect that. Uhm now I did want to let you know that there's, there's actually absolutely no obligation to you by doing this. Really, all we’re looking to do today is just have a specialist create a custom design for your home, which again is absolutely free and really requires no commitment on your part. Once again, once you have that information then you'll be able to have all of the details in front of you so that when you do go to discuss that between yourselves you have all that information and be able to make a, just a better informed decision, okay?</t>
  </si>
  <si>
    <t>R34.0</t>
  </si>
  <si>
    <t>TOO OLD</t>
  </si>
  <si>
    <t>I understand that you may feel that you’re not at the right age to have home warranty however the cost savings you’ll receive from having home warranty could help you have more financial freedom for your retirement! And again this is absolutely free and requires no commitment, okay?</t>
  </si>
  <si>
    <t>R35.0</t>
  </si>
  <si>
    <t>DON’T NEED RIGHT NOW</t>
  </si>
  <si>
    <t>I understand that the timing of this call isn’t really convenient for you, but remember this quote is absolutely free and actually requires no commitment from you at all. What we’re looking to do is have a specialist create that custom quote for you based on your home, creating a design for you. You have nothing to lose by receiving these details catered to your home, okay?</t>
  </si>
  <si>
    <t>R36.0</t>
  </si>
  <si>
    <t>NEXT STEPS</t>
  </si>
  <si>
    <t>"Alright, so here’s what’s going to happen.  You qualify for a free quote.  The next step is to see if home warranty would even save you money, which we won't know until the design is created.  You might as well proceed and get the details and then you could at least make an informed decision.  Once again, the design is free and requires no commitment.  As part of the design process, a specialist will need to call you back and ask you some questions about your home okay?"</t>
  </si>
  <si>
    <t>R37.0</t>
  </si>
  <si>
    <t>DEFERMENT</t>
  </si>
  <si>
    <t>So actually I’m not a specialist myself so I would hate to give you any misleading or incorrect information. What I can do is pass you over to a specialist and then they’ll be able to go over all the information with you, okay?</t>
  </si>
  <si>
    <t>R37.1</t>
  </si>
  <si>
    <t>ROUND 2</t>
  </si>
  <si>
    <t>That's actually a really good question. Now unfortunately, I'm not the best person to answer it. Uhm my job is really just to make sure you qualify for that free custom design, and then just pass you off to the specialist.</t>
  </si>
  <si>
    <t>R37.2</t>
  </si>
  <si>
    <t>ROUND 3</t>
  </si>
  <si>
    <t>Yeah, I don't have an answer for you, but I can make arrangements to have someone more qualified help you out.  Would you like for me to do that?"</t>
  </si>
  <si>
    <t>R37.3</t>
  </si>
  <si>
    <t>ROUND 4</t>
  </si>
  <si>
    <t>I honestly don't know. But I can pass you over to someone who can answer that for you, okay?</t>
  </si>
  <si>
    <t>R37.4</t>
  </si>
  <si>
    <t>ROUND 5</t>
  </si>
  <si>
    <t>Uhhm, I am actually not sure. I will have to look into that. Your best bet is letting me pass you to an expert who will be able 
to answer all your questions, okay?</t>
  </si>
  <si>
    <t>R38.0</t>
  </si>
  <si>
    <t>CB New Number</t>
  </si>
  <si>
    <t>Oh Im sorry I actually don’t have access to change your number from here, you can actually give that to them when they call you back and they will update if for you okay?</t>
  </si>
  <si>
    <t>Location</t>
  </si>
  <si>
    <t>We are located in Utah</t>
  </si>
  <si>
    <t>Location round 2</t>
  </si>
  <si>
    <t>We are actually not too far away from the capital of Salt Lake Utah</t>
  </si>
  <si>
    <t>I agree [1]</t>
  </si>
  <si>
    <t>I agree</t>
  </si>
  <si>
    <t>Agree [2]</t>
  </si>
  <si>
    <t>I agree with ya</t>
  </si>
  <si>
    <t>Agree [3]</t>
  </si>
  <si>
    <t>I agree completely</t>
  </si>
  <si>
    <t>Busy [1]</t>
  </si>
  <si>
    <t>I understand if you're busy, but this will only take a minute, okay?</t>
  </si>
  <si>
    <t>Busy [2]</t>
  </si>
  <si>
    <t>I can be really brief, okay?</t>
  </si>
  <si>
    <t>Busy [3]</t>
  </si>
  <si>
    <t>We're almost finished, okay?</t>
  </si>
  <si>
    <t>Clarification [1]</t>
  </si>
  <si>
    <t>You know that's a great question for the specialist.</t>
  </si>
  <si>
    <t>Clarification [2]</t>
  </si>
  <si>
    <t>Again, I'm not the expert so I just don't know the answer to that, but I'm sure they can help you with it, okay?</t>
  </si>
  <si>
    <t>Clarification [3]</t>
  </si>
  <si>
    <t>The specialist will be able to answer that for you, okay?</t>
  </si>
  <si>
    <t>Description [1]</t>
  </si>
  <si>
    <t>Ok well the reason for my call is to follow up on the online request that you filled out to receive a FREE solar installation quote for your home. Now my job at The-Solar-Project.com is just to make sure that you're interested in speaking with a solar specialist and that you do meet those minimum qualifications, okay?</t>
  </si>
  <si>
    <t>Description [2]</t>
  </si>
  <si>
    <t>My job is just to make sure that you're interested in speaking with a solar specialist, okay?</t>
  </si>
  <si>
    <t>Description [3]</t>
  </si>
  <si>
    <t>Again, this is just verify your interest and to see if you meet the minimum qualifications.</t>
  </si>
  <si>
    <t>Exactly [1]</t>
  </si>
  <si>
    <t>Exactly</t>
  </si>
  <si>
    <t>Exactly [2]</t>
  </si>
  <si>
    <t>Yeah, exactly</t>
  </si>
  <si>
    <t>Exactly [3]</t>
  </si>
  <si>
    <t xml:space="preserve">You got it. </t>
  </si>
  <si>
    <t>From [1]</t>
  </si>
  <si>
    <t>And again this is _____ and I'm calling on behalf of the-solar-project.com in regards to an online request for information about solar power installation.</t>
  </si>
  <si>
    <t>From [2]</t>
  </si>
  <si>
    <t>It's the SOLAR - project.com</t>
  </si>
  <si>
    <t>From [3]</t>
  </si>
  <si>
    <t>You know Solar, like the sun, S O L A R, Project ... .com</t>
  </si>
  <si>
    <t>Gratitude [1]</t>
  </si>
  <si>
    <t>Ok, thank you...</t>
  </si>
  <si>
    <t>Gratitude [2]</t>
  </si>
  <si>
    <t>Thank you...</t>
  </si>
  <si>
    <t>Gratitude [3]</t>
  </si>
  <si>
    <t>Alright, thanks</t>
  </si>
  <si>
    <t>Hello [1]</t>
  </si>
  <si>
    <t xml:space="preserve">Hello? </t>
  </si>
  <si>
    <t>Hello [2]</t>
  </si>
  <si>
    <t>Can you hear me?</t>
  </si>
  <si>
    <t>Hello [3]</t>
  </si>
  <si>
    <t>Are you there?</t>
  </si>
  <si>
    <t>I understand [1]</t>
  </si>
  <si>
    <t>I understand</t>
  </si>
  <si>
    <t>I understand [2]</t>
  </si>
  <si>
    <t>I hear ya</t>
  </si>
  <si>
    <t>I understand [3]</t>
  </si>
  <si>
    <t>I know what you mean</t>
  </si>
  <si>
    <t>Justify [1]</t>
  </si>
  <si>
    <t>Oh, so let me ask you - would you be interested in learning more about how a Solar installation at your home could help save you money?</t>
  </si>
  <si>
    <t>Justify [2]</t>
  </si>
  <si>
    <t>You're under no obligation. This is a free service to see if Solar would be a good option for you, okay?</t>
  </si>
  <si>
    <t>Justify [3]</t>
  </si>
  <si>
    <t>Again, you can decide if it's a good fit or not, okay?</t>
  </si>
  <si>
    <t>Is that oK [1]</t>
  </si>
  <si>
    <t>Is that okay?</t>
  </si>
  <si>
    <t>Is that oK [2]</t>
  </si>
  <si>
    <t>Would that be alright?</t>
  </si>
  <si>
    <t>Is that oK [3]</t>
  </si>
  <si>
    <t>So what do you say, is that alright?</t>
  </si>
  <si>
    <t>Laugh [1]</t>
  </si>
  <si>
    <t>LOL</t>
  </si>
  <si>
    <t>Laugh [2]</t>
  </si>
  <si>
    <t>Laugh [3]</t>
  </si>
  <si>
    <t>Make spell [1]</t>
  </si>
  <si>
    <t>Would you mind spelling that for me?</t>
  </si>
  <si>
    <t>Make spell [2]</t>
  </si>
  <si>
    <t>Can you spell it like A as in apple, B as in boy,...</t>
  </si>
  <si>
    <t>Make spell [3]</t>
  </si>
  <si>
    <t>I didn't quite get it. Can you spell it for me please?</t>
  </si>
  <si>
    <t>No [1]</t>
  </si>
  <si>
    <t>Nope</t>
  </si>
  <si>
    <t>No [2]</t>
  </si>
  <si>
    <t>No</t>
  </si>
  <si>
    <t>No [3]</t>
  </si>
  <si>
    <t>No, that's not correct</t>
  </si>
  <si>
    <t>Okay [1]</t>
  </si>
  <si>
    <t>Okay</t>
  </si>
  <si>
    <t>Okay [2]</t>
  </si>
  <si>
    <t>Oh, okay</t>
  </si>
  <si>
    <t>Okay [3]</t>
  </si>
  <si>
    <t>Yeah, okay</t>
  </si>
  <si>
    <t>Phone [1]</t>
  </si>
  <si>
    <t>It's 415</t>
  </si>
  <si>
    <t>Phone [2]</t>
  </si>
  <si>
    <t>Phone [3]</t>
  </si>
  <si>
    <t>Qualify [1]</t>
  </si>
  <si>
    <t>Well the minimum qualifications do vary a bit by area, but basically I just have a few general questions. Now if you do qualify for a free quote then we'll pass your information on to the solar company that will call you back within about 24 hours and they'll give you all the details that you'll need to decide for yourself if solar's going to be a good fit for you or not, okay?</t>
  </si>
  <si>
    <t>Qualify [2]</t>
  </si>
  <si>
    <t>The specialist will give you all the details that you'll need to decide for yourself if solar's going to be a good fit for you or not, okay?</t>
  </si>
  <si>
    <t>Qualify [3]</t>
  </si>
  <si>
    <t>All I need to do is ask a couple of questions to see if you qualify.</t>
  </si>
  <si>
    <t>Repeat [1]</t>
  </si>
  <si>
    <t>Sorry, what was that?</t>
  </si>
  <si>
    <t>Repeat [2]</t>
  </si>
  <si>
    <t>I didn't quite catch it. Can you repeat that for me?</t>
  </si>
  <si>
    <t>Repeat [3]</t>
  </si>
  <si>
    <t>Can you tell me that one more time please?</t>
  </si>
  <si>
    <t>Sorry [1]</t>
  </si>
  <si>
    <t>I'm sorry</t>
  </si>
  <si>
    <t>Sorry [2]</t>
  </si>
  <si>
    <t>I'm sorry to hear that</t>
  </si>
  <si>
    <t>Sorry [3]</t>
  </si>
  <si>
    <t>I'm sorry about that.</t>
  </si>
  <si>
    <t>Training [1]</t>
  </si>
  <si>
    <t>You know, I don't know the answer to that</t>
  </si>
  <si>
    <t>Training [2]</t>
  </si>
  <si>
    <t>I'm not sure about that</t>
  </si>
  <si>
    <t>Training [3]</t>
  </si>
  <si>
    <t>I apologize, I don't know.</t>
  </si>
  <si>
    <t>Uh huh [1]</t>
  </si>
  <si>
    <t>Uh huh</t>
  </si>
  <si>
    <t>Uh huh [2]</t>
  </si>
  <si>
    <t>Oh, uh huh</t>
  </si>
  <si>
    <t>Uh huh [3]</t>
  </si>
  <si>
    <t>Yeah, uh huh</t>
  </si>
  <si>
    <t>Who [1]</t>
  </si>
  <si>
    <t>My name is &lt;first name&gt;</t>
  </si>
  <si>
    <t>Who [2]</t>
  </si>
  <si>
    <t>It's &lt;first name&gt;&lt;last name&gt;</t>
  </si>
  <si>
    <t>Who [3]</t>
  </si>
  <si>
    <t>It's &lt;first name - spell&gt;, &lt;last name - spell&gt;</t>
  </si>
  <si>
    <t>Xfer to LIVE [1]</t>
  </si>
  <si>
    <t>You know, if you'd like then I can transfer you over to someone that can help you with that.</t>
  </si>
  <si>
    <t>Xfer to LIVE [2]</t>
  </si>
  <si>
    <t>Let me transfer you over, just a moment...</t>
  </si>
  <si>
    <t>Xfer to LIVE [3]</t>
  </si>
  <si>
    <t>Hold on just a second, and I'll transfer you over to them...</t>
  </si>
  <si>
    <t>Yes [1]</t>
  </si>
  <si>
    <t>Yes</t>
  </si>
  <si>
    <t>Yes [2]</t>
  </si>
  <si>
    <t>Yep</t>
  </si>
  <si>
    <t>Yes [3]</t>
  </si>
  <si>
    <t>Yes, that's correct</t>
  </si>
  <si>
    <t>Zinger [1]</t>
  </si>
  <si>
    <t>It's a great way to save money.</t>
  </si>
  <si>
    <t>Zinger [2]</t>
  </si>
  <si>
    <t>There's no obligation</t>
  </si>
  <si>
    <t>Zinger [3]</t>
  </si>
  <si>
    <t>I promise. It will be worth your time, okay?</t>
  </si>
  <si>
    <t>Call recorded [1]</t>
  </si>
  <si>
    <t xml:space="preserve">This call is being recorded for quality assurance. </t>
  </si>
  <si>
    <t>Call recorded [2]</t>
  </si>
  <si>
    <t>Oh, I was saying for quality assurance this call is being recorded.</t>
  </si>
  <si>
    <t>Call recorded [3]</t>
  </si>
  <si>
    <t xml:space="preserve">We record our calls to ensure the best quality for you. </t>
  </si>
  <si>
    <t>Call ID [1]</t>
  </si>
  <si>
    <t>Well, the reason the number is sometimes different, is because we do use a few different phone numbers through different carriers and that just helps our efficiency, but rest assured, the number you see IS owned by us, and if you were to dial that, that  would go directly to our customer service, okay?</t>
  </si>
  <si>
    <t>Call ID [2]</t>
  </si>
  <si>
    <t>Y'know that's really a technical thing, so I don't really know the answer to it myself, but as I mentioned, if you did call it back - it does comes to us, and that is a federal requirement, okay?</t>
  </si>
  <si>
    <t>Call ID [3]</t>
  </si>
  <si>
    <t>If you call it back then you'll reach our customer service, okay?</t>
  </si>
  <si>
    <t>What next [1]</t>
  </si>
  <si>
    <t>I just wanted to confirm you have interest and ask you a few quesitons to see if you qualify for a free consultation, okay?</t>
  </si>
  <si>
    <t>What next [2]</t>
  </si>
  <si>
    <t>So yeah, actually all we need to do is confirm that you own your own home; that it's a single-family dwelling, and then who your current provider is, and it's only going to take me a minute, okay?</t>
  </si>
  <si>
    <t>What next [3]</t>
  </si>
  <si>
    <t>I've submitted your name for a free consultation so you'll be hearing from them shortly, okay?</t>
  </si>
  <si>
    <t>Location [1]</t>
  </si>
  <si>
    <t xml:space="preserve">We're located in Utah. </t>
  </si>
  <si>
    <t>Location [2]</t>
  </si>
  <si>
    <t xml:space="preserve">I'm actually calling from the Utah county area in Pleasant Grove. </t>
  </si>
  <si>
    <t>Location [3]</t>
  </si>
  <si>
    <t xml:space="preserve">We're not too far from the capital, Salt Lake City. </t>
  </si>
  <si>
    <t>How get # [1]</t>
  </si>
  <si>
    <t>Ok well we actually received this number from an online inquiry for more information on solar power. Was that you or somebody else?</t>
  </si>
  <si>
    <t>How get # [2]</t>
  </si>
  <si>
    <t>We received your information from an online form that was submitted to us.</t>
  </si>
  <si>
    <t>How get # [3]</t>
  </si>
  <si>
    <t>If that doesn't sound familiar then I can remove you from the calling list. Would you like me to do that?</t>
  </si>
  <si>
    <t>How much [1]</t>
  </si>
  <si>
    <t>You know that's actually a great question. The cost will vary depending on the size and type of the system that you decide to go with. However, one thing to remember is that the cost of solar is much cheaper today than it has been in the past. Now in addition, with the government rebates and tax incentive that are available you can drastically cut the cost of going solar. In fact, there are some programs where the installation is absolutely free, okay?</t>
  </si>
  <si>
    <t>How much [2]</t>
  </si>
  <si>
    <t>Again, I would hate to give you any misleading or incorrect information. There really are so many variables that would affect cost that I just can't give you an estimate now. That's why we want to send a specialist out. That specialist will be able to answer any of those questions for you, okay?</t>
  </si>
  <si>
    <t>How much [3]</t>
  </si>
  <si>
    <t>Let me get you over to the specialist who can discuss the cost with you, but remember you're under no obligation to buy after the free consultation, okay?</t>
  </si>
  <si>
    <t>Savings % [1]</t>
  </si>
  <si>
    <t>So typically on an average home, a homeowner could see savings between 50% to 70% on their electricity bill. That could equal a couple thousand dollars a year in savings depending on where you live. Now that's just a rough average, the solar specialist that'll come out, they'll actually be able to give you a much more detailed answer, okay?</t>
  </si>
  <si>
    <t>Savings % [2]</t>
  </si>
  <si>
    <t xml:space="preserve">Again typically on an average home, a homeowner could see savings between 50% to 70% on their electricity bill. </t>
  </si>
  <si>
    <t>Savings % [3]</t>
  </si>
  <si>
    <t>You could save between 50-70% off your electric bill.</t>
  </si>
  <si>
    <t>Scheduling [1]</t>
  </si>
  <si>
    <t>You know that specialist is actually going to work with your schedule. At the end of the day they're going to make sure to schedule the consultation around what works best for you, okay?</t>
  </si>
  <si>
    <t>Scheduling [2]</t>
  </si>
  <si>
    <t xml:space="preserve">The specialist will work with your schedule. </t>
  </si>
  <si>
    <t>Scheduling [3]</t>
  </si>
  <si>
    <t>At the end of the day they're going to make sure to schedule the consultation around what works best for you, okay?</t>
  </si>
  <si>
    <t>Already have solar [1]</t>
  </si>
  <si>
    <t>Oh I definitely understand. Now I can still have the specialist reach out and they could make a better determination if you would benefit from the consultation or not. So would that be okay?</t>
  </si>
  <si>
    <t>Already have solar [2]</t>
  </si>
  <si>
    <t>Again, you know it doesn't really hurt to see if the specialist might be able to help you, does it?</t>
  </si>
  <si>
    <t>How work [1]</t>
  </si>
  <si>
    <t>You know that's actually a really great question and it really will depend on what type of system you choose to go with for your home. So typically, your system will use the electricity generated from your solar panels first and then whatever electricity you use above and beyond that will come from your utility company. So that's how you lower your monthly payment. That's just a general idea; I do know that there are other systems the specialist can review with you, okay?</t>
  </si>
  <si>
    <t>How work [2]</t>
  </si>
  <si>
    <t xml:space="preserve">Typically, your system will use the electricity generated from your solar panels first and then whatever electricity you use above and beyond that will come from your utility company. </t>
  </si>
  <si>
    <t>How work [3]</t>
  </si>
  <si>
    <t>So you save money by generating and using your own solar power.</t>
  </si>
  <si>
    <t>No problem [1]</t>
  </si>
  <si>
    <t>No problem</t>
  </si>
  <si>
    <t>No problem [2]</t>
  </si>
  <si>
    <t>That's not a problem</t>
  </si>
  <si>
    <t>No problem [3]</t>
  </si>
  <si>
    <t>No worries</t>
  </si>
  <si>
    <t>Website [1]</t>
  </si>
  <si>
    <t>It's www.the (hyphen)</t>
  </si>
  <si>
    <t>Website [2]</t>
  </si>
  <si>
    <t>solar (hyphen)</t>
  </si>
  <si>
    <t>Website [3]</t>
  </si>
  <si>
    <t>project.com</t>
  </si>
  <si>
    <t>Scam [1]</t>
  </si>
  <si>
    <t>Well I can actually give you a website where you can go get more information if you'd like to look into this further...</t>
  </si>
  <si>
    <t>Scam [2]</t>
  </si>
  <si>
    <t>Would you like the website?</t>
  </si>
  <si>
    <t>Scam [3]</t>
  </si>
  <si>
    <t>So the-solar-project.com works with a large network of solar installers throughout the U.S. This actually allows us to customize our services to you and connect you with the most suitable local installer that meets your personal requirements.</t>
  </si>
  <si>
    <t>Incentives &amp; Rebates [1]</t>
  </si>
  <si>
    <t>Well, basically, rebates and incentives are available to all U.S. homeowners to help offset the costs of going solar. Although, they differ state by state, they are used to help promote the adoption of solar energy for homes in the U.S. They can help reduce the price that you would end up paying for going solar. Now the rebates and incentives for going solar can make it so that in the end you'll end up saving nearly half the cost on your system, okay?</t>
  </si>
  <si>
    <t>Incentives &amp; Rebates [2]</t>
  </si>
  <si>
    <t xml:space="preserve">Basically, it can help reduce the price that you would end up paying for going solar. </t>
  </si>
  <si>
    <t>Incentives &amp; Rebates [3]</t>
  </si>
  <si>
    <t>You can end up saving nearly half the cost on your system, okay?</t>
  </si>
  <si>
    <t>Send information [1]</t>
  </si>
  <si>
    <t>So yeah definitely. I can actually give you a website where you can go get more information, but while I do have you on the phone, if you'll just give me maybe 1 or 2 minutes I can see if you'd qualify for one or not, okay?</t>
  </si>
  <si>
    <t>Send information [2]</t>
  </si>
  <si>
    <t>You bet, can I just have a few minutes of your time now?</t>
  </si>
  <si>
    <t>Send information [3]</t>
  </si>
  <si>
    <t>Again, you can get information on the website too, okay?</t>
  </si>
  <si>
    <t>Live person [1]</t>
  </si>
  <si>
    <t>You actually are speaking with a live person, I'm just using a computer for quality control purposes</t>
  </si>
  <si>
    <t>Live person [2]</t>
  </si>
  <si>
    <t>I am just using a computer for quality control purposes, but again you are speaking with a live person, okay</t>
  </si>
  <si>
    <t>Live person [3]</t>
  </si>
  <si>
    <t>I'm a LIVE person using a technology that allows me to respond using audio messages.</t>
  </si>
  <si>
    <t>Consultation [1]</t>
  </si>
  <si>
    <t>So basically, they will come by for about a 30-60 minute consultation and they'll look at your house and roof just to determine if solar would be a good fit for you or not. They'll review with you all the details that you'll need to know as well as answer any questions that you may have. Then they'll obviously have a few more questions for you as well, okay?</t>
  </si>
  <si>
    <t>Consultation [2]</t>
  </si>
  <si>
    <t xml:space="preserve">The specialist will come by your house for about a 30-60 minute consultation. </t>
  </si>
  <si>
    <t>Consultation [3]</t>
  </si>
  <si>
    <t>The specialist will review with you all the details that you'll need to know as well as answer any questions that you may have, okay?</t>
  </si>
  <si>
    <t>Time to install [1]</t>
  </si>
  <si>
    <t>Time to install [2]</t>
  </si>
  <si>
    <t>Again, once all the paper work and details are worked out it can be completed within 2 to 7 days.</t>
  </si>
  <si>
    <t>Time to install [3]</t>
  </si>
  <si>
    <t>It's quick enough that you might be able to get it in before your next electric bill, okay?</t>
  </si>
  <si>
    <t>Hold on [1]</t>
  </si>
  <si>
    <t>Sorry, give me just a second here...</t>
  </si>
  <si>
    <t>Hold on [2]</t>
  </si>
  <si>
    <t>Hold on for just a bit here...</t>
  </si>
  <si>
    <t>Hold on [3]</t>
  </si>
  <si>
    <t>It will be just a minute longer...</t>
  </si>
  <si>
    <t>He available [1]</t>
  </si>
  <si>
    <t>Is he available?</t>
  </si>
  <si>
    <t>He available [2]</t>
  </si>
  <si>
    <t>Oh, sorry - is HE available?</t>
  </si>
  <si>
    <t>He available [3]</t>
  </si>
  <si>
    <t>Is this him?</t>
  </si>
  <si>
    <t>She available [1]</t>
  </si>
  <si>
    <t>Is she available?</t>
  </si>
  <si>
    <t>She available [2]</t>
  </si>
  <si>
    <t>Oh sorry - is SHE available?</t>
  </si>
  <si>
    <t>She available [3]</t>
  </si>
  <si>
    <t>Is this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</si>
</sst>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lt;=9999999]###\-####;\(###\)\ ###\-####"/>
  </numFmts>
  <fonts count="10">
    <font>
      <sz val="11"/>
      <color theme="1"/>
      <name val="Calibri"/>
      <family val="2"/>
      <scheme val="minor"/>
    </font>
    <font>
      <b/>
      <sz val="11"/>
      <color theme="1"/>
      <name val="Calibri"/>
      <family val="2"/>
      <scheme val="minor"/>
    </font>
    <font>
      <b/>
      <u/>
      <sz val="11"/>
      <color theme="1"/>
      <name val="Calibri"/>
      <family val="2"/>
      <scheme val="minor"/>
    </font>
    <font>
      <sz val="11"/>
      <color theme="4"/>
      <name val="Calibri"/>
      <family val="2"/>
      <scheme val="minor"/>
    </font>
    <font>
      <u/>
      <sz val="11"/>
      <color theme="10"/>
      <name val="Calibri"/>
      <family val="2"/>
      <scheme val="minor"/>
    </font>
    <font>
      <sz val="11"/>
      <name val="Calibri"/>
      <family val="2"/>
      <scheme val="minor"/>
    </font>
    <font>
      <b/>
      <sz val="11"/>
      <color theme="4"/>
      <name val="Calibri"/>
      <family val="2"/>
      <scheme val="minor"/>
    </font>
    <font>
      <sz val="11"/>
      <color rgb="FFFF0000"/>
      <name val="Calibri"/>
      <family val="2"/>
      <scheme val="minor"/>
    </font>
    <font>
      <b/>
      <sz val="11"/>
      <name val="Calibri"/>
      <family val="2"/>
      <scheme val="minor"/>
    </font>
    <font>
      <b/>
      <u/>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59999389629810485"/>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2">
    <xf numFmtId="0" fontId="0" fillId="0" borderId="0"/>
    <xf numFmtId="0" fontId="4" fillId="0" borderId="0" applyNumberFormat="0" applyFill="0" applyBorder="0" applyAlignment="0" applyProtection="0"/>
  </cellStyleXfs>
  <cellXfs count="50">
    <xf numFmtId="0" fontId="0" fillId="0" borderId="0" xfId="0"/>
    <xf numFmtId="0" fontId="0" fillId="0" borderId="0" xfId="0" applyAlignment="1">
      <alignment horizontal="left" indent="1"/>
    </xf>
    <xf numFmtId="0" fontId="0" fillId="0" borderId="1" xfId="0" applyBorder="1" applyAlignment="1">
      <alignment horizontal="left" indent="1"/>
    </xf>
    <xf numFmtId="0" fontId="1" fillId="0" borderId="0" xfId="0" applyFont="1" applyAlignment="1">
      <alignment horizontal="left" indent="1"/>
    </xf>
    <xf numFmtId="0" fontId="0" fillId="0" borderId="0" xfId="0" quotePrefix="1" applyAlignment="1">
      <alignment horizontal="left" indent="1"/>
    </xf>
    <xf numFmtId="165" fontId="0" fillId="0" borderId="0" xfId="0" applyNumberFormat="1" applyAlignment="1">
      <alignment horizontal="left" indent="1"/>
    </xf>
    <xf numFmtId="0" fontId="4" fillId="0" borderId="0" xfId="1" applyAlignment="1">
      <alignment horizontal="left" indent="1"/>
    </xf>
    <xf numFmtId="0" fontId="3" fillId="0" borderId="0" xfId="0" applyFont="1" applyAlignment="1">
      <alignment horizontal="left" indent="1"/>
    </xf>
    <xf numFmtId="0" fontId="0" fillId="0" borderId="0" xfId="0" applyAlignment="1">
      <alignment horizontal="left"/>
    </xf>
    <xf numFmtId="0" fontId="3" fillId="0" borderId="0" xfId="0" applyFont="1" applyAlignment="1">
      <alignment horizontal="left"/>
    </xf>
    <xf numFmtId="0" fontId="1" fillId="0" borderId="0" xfId="0" applyFont="1" applyAlignment="1">
      <alignment horizontal="left"/>
    </xf>
    <xf numFmtId="164" fontId="0" fillId="0" borderId="0" xfId="0" applyNumberFormat="1" applyAlignment="1">
      <alignment horizontal="left"/>
    </xf>
    <xf numFmtId="0" fontId="2" fillId="0" borderId="0" xfId="0" applyFont="1" applyAlignment="1">
      <alignment horizontal="left"/>
    </xf>
    <xf numFmtId="0" fontId="6" fillId="0" borderId="0" xfId="0" applyFont="1" applyAlignment="1">
      <alignment horizontal="left"/>
    </xf>
    <xf numFmtId="0" fontId="0" fillId="4" borderId="0" xfId="0" applyFill="1" applyAlignment="1">
      <alignment horizontal="left"/>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xf numFmtId="0" fontId="0" fillId="0" borderId="0" xfId="0" applyAlignment="1">
      <alignment vertical="top"/>
    </xf>
    <xf numFmtId="0" fontId="1" fillId="0" borderId="0" xfId="0" applyFont="1" applyAlignment="1">
      <alignment vertical="top"/>
    </xf>
    <xf numFmtId="0" fontId="7" fillId="0" borderId="0" xfId="0" applyFont="1" applyAlignment="1">
      <alignment vertical="top"/>
    </xf>
    <xf numFmtId="0" fontId="7" fillId="0" borderId="0" xfId="0" applyFont="1" applyAlignment="1">
      <alignment vertical="top" wrapText="1"/>
    </xf>
    <xf numFmtId="0" fontId="1" fillId="0" borderId="0" xfId="0" applyFont="1"/>
    <xf numFmtId="0" fontId="3" fillId="5" borderId="0" xfId="0" applyFont="1" applyFill="1" applyAlignment="1">
      <alignment horizontal="left"/>
    </xf>
    <xf numFmtId="0" fontId="7"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8" fillId="0" borderId="0" xfId="0" applyFont="1" applyAlignment="1">
      <alignment horizontal="left" vertical="top"/>
    </xf>
    <xf numFmtId="0" fontId="5" fillId="0" borderId="0" xfId="0" applyFont="1" applyAlignment="1">
      <alignment horizontal="center" vertical="top"/>
    </xf>
    <xf numFmtId="0" fontId="5" fillId="0" borderId="0" xfId="0" applyFont="1"/>
    <xf numFmtId="0" fontId="5" fillId="0" borderId="0" xfId="0" applyFont="1" applyAlignment="1">
      <alignment wrapText="1"/>
    </xf>
    <xf numFmtId="0" fontId="9"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7" fillId="0" borderId="0" xfId="0" applyFont="1" applyAlignment="1">
      <alignment horizontal="left" vertical="top" wrapText="1"/>
    </xf>
    <xf numFmtId="0" fontId="5" fillId="0" borderId="0" xfId="0" applyFont="1" applyAlignment="1">
      <alignment horizontal="left" wrapText="1"/>
    </xf>
    <xf numFmtId="0" fontId="5" fillId="0" borderId="0" xfId="0" applyFont="1" applyAlignment="1">
      <alignment horizontal="left"/>
    </xf>
    <xf numFmtId="0" fontId="1" fillId="3" borderId="0" xfId="0" applyFont="1" applyFill="1" applyAlignment="1">
      <alignment horizontal="center"/>
    </xf>
    <xf numFmtId="0" fontId="8" fillId="0" borderId="0" xfId="0" applyFont="1" applyAlignment="1">
      <alignment horizontal="left" wrapText="1"/>
    </xf>
    <xf numFmtId="0" fontId="1" fillId="0" borderId="0" xfId="0" applyFont="1" applyAlignment="1">
      <alignment horizontal="left" wrapText="1"/>
    </xf>
    <xf numFmtId="0" fontId="2" fillId="2" borderId="0" xfId="0" applyFont="1" applyFill="1" applyAlignment="1">
      <alignment horizontal="center"/>
    </xf>
    <xf numFmtId="0" fontId="7" fillId="0" borderId="0" xfId="0" applyFont="1" applyAlignment="1">
      <alignment horizontal="left" vertical="top"/>
    </xf>
    <xf numFmtId="0" fontId="0" fillId="0" border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the-national-home-projec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351"/>
  <sheetViews>
    <sheetView showGridLines="0" tabSelected="1" topLeftCell="A193" workbookViewId="0">
      <selection activeCell="B195" sqref="B195:C195"/>
    </sheetView>
  </sheetViews>
  <sheetFormatPr defaultRowHeight="14.45"/>
  <cols>
    <col min="1" max="1" width="30.7109375" style="10" bestFit="1" customWidth="1"/>
    <col min="2" max="2" width="10.85546875" style="29" customWidth="1"/>
    <col min="3" max="3" width="67.7109375" style="30" customWidth="1"/>
    <col min="4" max="4" width="13.140625" customWidth="1"/>
    <col min="5" max="5" width="14.85546875" customWidth="1"/>
    <col min="6" max="6" width="56.42578125" customWidth="1"/>
    <col min="7" max="7" width="2.5703125" customWidth="1"/>
    <col min="8" max="8" width="8.85546875"/>
    <col min="10" max="10" width="24" style="1" bestFit="1" customWidth="1"/>
    <col min="11" max="11" width="19.28515625" style="1" customWidth="1"/>
    <col min="13" max="14" width="18" customWidth="1"/>
  </cols>
  <sheetData>
    <row r="2" spans="1:14">
      <c r="A2" s="47" t="s">
        <v>0</v>
      </c>
      <c r="B2" s="47"/>
      <c r="C2" s="47"/>
    </row>
    <row r="3" spans="1:14">
      <c r="M3" s="3" t="s">
        <v>1</v>
      </c>
      <c r="N3" s="1"/>
    </row>
    <row r="4" spans="1:14">
      <c r="A4" s="44" t="s">
        <v>2</v>
      </c>
      <c r="B4" s="44"/>
      <c r="C4" s="44"/>
      <c r="J4" s="3" t="s">
        <v>3</v>
      </c>
      <c r="K4" s="1" t="s">
        <v>4</v>
      </c>
      <c r="M4" s="3"/>
      <c r="N4" s="1"/>
    </row>
    <row r="5" spans="1:14">
      <c r="J5" s="3" t="s">
        <v>5</v>
      </c>
      <c r="K5" s="1" t="s">
        <v>6</v>
      </c>
      <c r="M5" s="2" t="s">
        <v>7</v>
      </c>
      <c r="N5" s="2" t="s">
        <v>8</v>
      </c>
    </row>
    <row r="6" spans="1:14">
      <c r="A6" s="11" t="s">
        <v>9</v>
      </c>
      <c r="B6" s="31" t="s">
        <v>2</v>
      </c>
      <c r="D6" s="11"/>
      <c r="E6" s="19"/>
      <c r="F6" s="15"/>
      <c r="J6" s="3" t="s">
        <v>10</v>
      </c>
      <c r="K6" s="1" t="s">
        <v>11</v>
      </c>
      <c r="M6" s="2" t="s">
        <v>12</v>
      </c>
      <c r="N6" s="2" t="s">
        <v>13</v>
      </c>
    </row>
    <row r="7" spans="1:14">
      <c r="B7" s="29" t="s">
        <v>14</v>
      </c>
      <c r="D7" s="10"/>
      <c r="E7" s="20"/>
      <c r="F7" s="15"/>
      <c r="J7" s="3" t="s">
        <v>15</v>
      </c>
      <c r="K7" s="1" t="s">
        <v>16</v>
      </c>
      <c r="M7" s="2" t="s">
        <v>17</v>
      </c>
      <c r="N7" s="2" t="s">
        <v>18</v>
      </c>
    </row>
    <row r="8" spans="1:14">
      <c r="J8" s="3" t="s">
        <v>19</v>
      </c>
      <c r="K8" s="5">
        <v>7027669394</v>
      </c>
      <c r="M8" s="2" t="s">
        <v>20</v>
      </c>
      <c r="N8" s="2" t="s">
        <v>21</v>
      </c>
    </row>
    <row r="9" spans="1:14">
      <c r="A9" s="14" t="s">
        <v>22</v>
      </c>
      <c r="C9" s="32" t="s">
        <v>23</v>
      </c>
      <c r="J9" s="3" t="s">
        <v>24</v>
      </c>
      <c r="K9" s="5">
        <v>4157635737</v>
      </c>
      <c r="M9" s="2" t="s">
        <v>25</v>
      </c>
      <c r="N9" s="2" t="s">
        <v>26</v>
      </c>
    </row>
    <row r="10" spans="1:14" ht="28.9">
      <c r="A10" s="8"/>
      <c r="C10" s="30" t="s">
        <v>27</v>
      </c>
      <c r="E10" t="s">
        <v>28</v>
      </c>
      <c r="J10" s="3" t="s">
        <v>29</v>
      </c>
      <c r="K10" s="6" t="s">
        <v>30</v>
      </c>
    </row>
    <row r="11" spans="1:14">
      <c r="A11" s="8"/>
    </row>
    <row r="12" spans="1:14">
      <c r="A12" s="8" t="s">
        <v>31</v>
      </c>
      <c r="C12" s="32" t="s">
        <v>32</v>
      </c>
    </row>
    <row r="13" spans="1:14" ht="30" customHeight="1">
      <c r="A13" s="8"/>
      <c r="C13" s="30" t="str">
        <f>"This is, "&amp;K4&amp;", calling on behalf of "&amp;K5&amp;". It's really nothing urgent though and we'll just plan on calling
 back at another time, but thank you so much for your time and I hope you have a great day. Bye-bye."</f>
        <v>This is, Brian Lee, calling on behalf of NationalHomeProject.com. It's really nothing urgent though and we'll just plan on calling
 back at another time, but thank you so much for your time and I hope you have a great day. Bye-bye.</v>
      </c>
      <c r="J13" s="4"/>
    </row>
    <row r="14" spans="1:14">
      <c r="A14" s="8"/>
    </row>
    <row r="15" spans="1:14">
      <c r="A15" s="8" t="s">
        <v>33</v>
      </c>
      <c r="C15" s="32" t="s">
        <v>34</v>
      </c>
    </row>
    <row r="16" spans="1:14" ht="57.6">
      <c r="A16" s="8"/>
      <c r="C16" s="30" t="s">
        <v>35</v>
      </c>
    </row>
    <row r="17" spans="1:5">
      <c r="A17" s="8"/>
    </row>
    <row r="18" spans="1:5">
      <c r="A18" s="8" t="s">
        <v>36</v>
      </c>
      <c r="C18" s="32" t="s">
        <v>37</v>
      </c>
    </row>
    <row r="19" spans="1:5" ht="28.9">
      <c r="A19" s="8"/>
      <c r="C19" s="30" t="s">
        <v>38</v>
      </c>
    </row>
    <row r="20" spans="1:5">
      <c r="A20" s="8"/>
    </row>
    <row r="21" spans="1:5">
      <c r="A21" s="8" t="s">
        <v>39</v>
      </c>
      <c r="C21" s="32" t="s">
        <v>40</v>
      </c>
    </row>
    <row r="22" spans="1:5" ht="28.9">
      <c r="C22" s="30" t="s">
        <v>41</v>
      </c>
    </row>
    <row r="24" spans="1:5">
      <c r="A24" s="44" t="s">
        <v>42</v>
      </c>
      <c r="B24" s="44"/>
      <c r="C24" s="44"/>
    </row>
    <row r="26" spans="1:5">
      <c r="A26" s="8" t="s">
        <v>43</v>
      </c>
      <c r="B26" s="31" t="s">
        <v>44</v>
      </c>
      <c r="D26" s="8"/>
      <c r="E26" s="19"/>
    </row>
    <row r="27" spans="1:5">
      <c r="A27" s="8"/>
      <c r="B27" s="29" t="str">
        <f>"Hi, this is, "&amp;K4&amp;", calling on behalf of "&amp;K5&amp;". How are you today?"</f>
        <v>Hi, this is, Brian Lee, calling on behalf of NationalHomeProject.com. How are you today?</v>
      </c>
      <c r="D27" s="8"/>
      <c r="E27" s="20"/>
    </row>
    <row r="28" spans="1:5">
      <c r="A28" s="8"/>
    </row>
    <row r="29" spans="1:5">
      <c r="A29" s="8" t="s">
        <v>45</v>
      </c>
      <c r="B29" s="31" t="s">
        <v>46</v>
      </c>
    </row>
    <row r="30" spans="1:5" ht="35.450000000000003" customHeight="1">
      <c r="A30" s="8"/>
      <c r="B30" s="39" t="str">
        <f>"Hi, this is, "&amp;K4&amp;", from "&amp;K6&amp;" at, "&amp;LEFT(K8,3)&amp;"-"&amp;MID(K8,4,3)&amp;"-"&amp;RIGHT(K8,4)&amp;", calling on behalf of "&amp;K5&amp;". How are you today?"</f>
        <v>Hi, this is, Brian Lee, from Top Dial at, 702-766-9394, calling on behalf of NationalHomeProject.com. How are you today?</v>
      </c>
      <c r="C30" s="39"/>
    </row>
    <row r="31" spans="1:5">
      <c r="A31" s="8"/>
    </row>
    <row r="32" spans="1:5">
      <c r="A32" s="8" t="s">
        <v>47</v>
      </c>
      <c r="B32" s="31" t="s">
        <v>48</v>
      </c>
      <c r="D32" s="8"/>
      <c r="E32" s="19"/>
    </row>
    <row r="33" spans="1:6">
      <c r="B33" s="29" t="str">
        <f>"Okay, I'm actually with the "&amp;K5&amp;""</f>
        <v>Okay, I'm actually with the NationalHomeProject.com</v>
      </c>
      <c r="D33" s="10"/>
      <c r="E33" s="20"/>
    </row>
    <row r="35" spans="1:6">
      <c r="A35" s="8" t="s">
        <v>49</v>
      </c>
      <c r="C35" s="32" t="s">
        <v>50</v>
      </c>
      <c r="D35" s="8"/>
      <c r="E35" s="18"/>
      <c r="F35" s="16"/>
    </row>
    <row r="36" spans="1:6">
      <c r="A36" s="8"/>
      <c r="C36" s="30" t="s">
        <v>51</v>
      </c>
      <c r="D36" s="8"/>
      <c r="E36" s="18"/>
      <c r="F36" s="21"/>
    </row>
    <row r="37" spans="1:6">
      <c r="A37" s="8"/>
    </row>
    <row r="38" spans="1:6">
      <c r="A38" s="8" t="s">
        <v>52</v>
      </c>
      <c r="C38" s="32" t="s">
        <v>53</v>
      </c>
      <c r="D38" s="8"/>
      <c r="E38" s="18"/>
      <c r="F38" s="16"/>
    </row>
    <row r="39" spans="1:6">
      <c r="A39" s="8"/>
      <c r="C39" s="30" t="s">
        <v>54</v>
      </c>
      <c r="D39" s="8"/>
      <c r="E39" s="18"/>
      <c r="F39" s="21"/>
    </row>
    <row r="40" spans="1:6">
      <c r="A40" s="8"/>
    </row>
    <row r="41" spans="1:6">
      <c r="A41" s="8" t="s">
        <v>55</v>
      </c>
      <c r="C41" s="32" t="s">
        <v>56</v>
      </c>
    </row>
    <row r="42" spans="1:6">
      <c r="A42" s="8"/>
      <c r="C42" s="30" t="s">
        <v>57</v>
      </c>
    </row>
    <row r="43" spans="1:6">
      <c r="A43" s="8"/>
      <c r="C43" s="32"/>
    </row>
    <row r="44" spans="1:6">
      <c r="A44" s="8" t="s">
        <v>58</v>
      </c>
      <c r="C44" s="32" t="s">
        <v>59</v>
      </c>
      <c r="D44" s="8"/>
      <c r="E44" s="18"/>
      <c r="F44" s="16"/>
    </row>
    <row r="45" spans="1:6">
      <c r="C45" s="30" t="s">
        <v>60</v>
      </c>
      <c r="D45" s="10"/>
      <c r="E45" s="18"/>
      <c r="F45" s="21"/>
    </row>
    <row r="47" spans="1:6">
      <c r="A47" s="44" t="s">
        <v>61</v>
      </c>
      <c r="B47" s="44"/>
      <c r="C47" s="44"/>
    </row>
    <row r="49" spans="1:6">
      <c r="A49" s="8" t="s">
        <v>62</v>
      </c>
      <c r="B49" s="31" t="s">
        <v>61</v>
      </c>
      <c r="D49" s="8"/>
      <c r="E49" s="19"/>
      <c r="F49" s="15"/>
    </row>
    <row r="50" spans="1:6" ht="115.15" customHeight="1">
      <c r="B50" s="39" t="s">
        <v>63</v>
      </c>
      <c r="C50" s="39"/>
      <c r="D50" s="10"/>
      <c r="E50" s="41"/>
      <c r="F50" s="41"/>
    </row>
    <row r="51" spans="1:6" ht="15" customHeight="1">
      <c r="B51" s="28"/>
      <c r="C51" s="27"/>
    </row>
    <row r="52" spans="1:6" ht="15" customHeight="1">
      <c r="A52" s="8" t="s">
        <v>64</v>
      </c>
      <c r="C52" s="33" t="s">
        <v>65</v>
      </c>
      <c r="D52" s="8"/>
      <c r="E52" s="18"/>
      <c r="F52" s="17"/>
    </row>
    <row r="53" spans="1:6" ht="86.45">
      <c r="A53" s="8"/>
      <c r="C53" s="30" t="s">
        <v>66</v>
      </c>
      <c r="D53" s="21"/>
      <c r="E53" s="41"/>
      <c r="F53" s="41"/>
    </row>
    <row r="54" spans="1:6" ht="15" customHeight="1">
      <c r="A54" s="8"/>
      <c r="C54" s="27"/>
    </row>
    <row r="55" spans="1:6" ht="15" customHeight="1">
      <c r="A55" s="8" t="s">
        <v>67</v>
      </c>
      <c r="C55" s="33" t="s">
        <v>68</v>
      </c>
      <c r="D55" s="8"/>
      <c r="E55" s="17"/>
      <c r="F55" s="17"/>
    </row>
    <row r="56" spans="1:6" ht="45.6" customHeight="1">
      <c r="B56" s="28"/>
      <c r="C56" s="27" t="s">
        <v>69</v>
      </c>
      <c r="D56" s="10"/>
      <c r="E56" s="25"/>
      <c r="F56" s="24"/>
    </row>
    <row r="58" spans="1:6">
      <c r="A58" s="44" t="s">
        <v>70</v>
      </c>
      <c r="B58" s="44"/>
      <c r="C58" s="44"/>
    </row>
    <row r="59" spans="1:6">
      <c r="A59" s="12"/>
    </row>
    <row r="60" spans="1:6">
      <c r="A60" s="8" t="s">
        <v>71</v>
      </c>
      <c r="B60" s="31" t="s">
        <v>72</v>
      </c>
      <c r="D60" s="8"/>
      <c r="E60" s="19"/>
      <c r="F60" s="15"/>
    </row>
    <row r="61" spans="1:6" ht="91.9" customHeight="1">
      <c r="B61" s="39" t="s">
        <v>73</v>
      </c>
      <c r="C61" s="39"/>
      <c r="D61" s="10"/>
      <c r="E61" s="41"/>
      <c r="F61" s="41"/>
    </row>
    <row r="62" spans="1:6" ht="15" customHeight="1">
      <c r="B62" s="28"/>
      <c r="C62" s="27"/>
    </row>
    <row r="63" spans="1:6" ht="15" customHeight="1">
      <c r="A63" s="8" t="s">
        <v>74</v>
      </c>
      <c r="B63" s="45" t="s">
        <v>75</v>
      </c>
      <c r="C63" s="45"/>
    </row>
    <row r="64" spans="1:6" ht="30" customHeight="1">
      <c r="A64" s="8"/>
      <c r="B64" s="42" t="s">
        <v>76</v>
      </c>
      <c r="C64" s="42"/>
    </row>
    <row r="65" spans="1:6" ht="15" customHeight="1">
      <c r="A65" s="8"/>
      <c r="B65" s="34"/>
      <c r="C65" s="33"/>
    </row>
    <row r="66" spans="1:6" ht="15" customHeight="1">
      <c r="A66" s="8" t="s">
        <v>77</v>
      </c>
      <c r="B66" s="45" t="s">
        <v>78</v>
      </c>
      <c r="C66" s="45"/>
      <c r="D66" s="8"/>
      <c r="E66" s="46"/>
      <c r="F66" s="46"/>
    </row>
    <row r="67" spans="1:6" ht="15" customHeight="1">
      <c r="B67" s="42" t="s">
        <v>79</v>
      </c>
      <c r="C67" s="42"/>
      <c r="D67" s="10"/>
      <c r="E67" s="49"/>
      <c r="F67" s="49"/>
    </row>
    <row r="69" spans="1:6">
      <c r="A69" s="8" t="s">
        <v>80</v>
      </c>
      <c r="B69" s="35"/>
      <c r="C69" s="32" t="s">
        <v>81</v>
      </c>
    </row>
    <row r="70" spans="1:6" ht="60" customHeight="1">
      <c r="C70" s="30" t="str">
        <f>"Okay, now unfortunately you must be a homeowner to qualify for that option so I'm really sorry about that. Now if you are  interested in the future, then please visit our website. It's "&amp;K5&amp;". And again thanks so much for your time and have a great day. Bye-bye."</f>
        <v>Okay, now unfortunately you must be a homeowner to qualify for that option so I'm really sorry about that. Now if you are  interested in the future, then please visit our website. It's NationalHomeProject.com. And again thanks so much for your time and have a great day. Bye-bye.</v>
      </c>
    </row>
    <row r="72" spans="1:6">
      <c r="A72" s="8" t="s">
        <v>82</v>
      </c>
      <c r="B72" s="31" t="s">
        <v>83</v>
      </c>
      <c r="D72" s="8"/>
      <c r="E72" s="19"/>
    </row>
    <row r="73" spans="1:6">
      <c r="B73" s="29" t="s">
        <v>84</v>
      </c>
      <c r="D73" s="10"/>
      <c r="E73" s="20"/>
    </row>
    <row r="75" spans="1:6">
      <c r="A75" s="8" t="s">
        <v>85</v>
      </c>
      <c r="B75" s="31" t="s">
        <v>86</v>
      </c>
      <c r="D75" s="8"/>
      <c r="E75" s="19"/>
    </row>
    <row r="76" spans="1:6">
      <c r="B76" s="29" t="s">
        <v>87</v>
      </c>
      <c r="D76" s="10"/>
      <c r="E76" s="20"/>
    </row>
    <row r="78" spans="1:6">
      <c r="A78" s="8" t="s">
        <v>88</v>
      </c>
      <c r="B78" s="31" t="s">
        <v>89</v>
      </c>
      <c r="D78" s="8"/>
      <c r="E78" s="19"/>
    </row>
    <row r="79" spans="1:6" ht="40.9" customHeight="1">
      <c r="B79" s="39" t="s">
        <v>90</v>
      </c>
      <c r="C79" s="39"/>
      <c r="D79" s="10"/>
      <c r="E79" s="41"/>
      <c r="F79" s="41"/>
    </row>
    <row r="80" spans="1:6" ht="14.45" customHeight="1">
      <c r="A80" s="26" t="s">
        <v>91</v>
      </c>
      <c r="C80" s="32" t="s">
        <v>92</v>
      </c>
      <c r="D80" s="10"/>
      <c r="E80" s="24"/>
      <c r="F80" s="24"/>
    </row>
    <row r="81" spans="1:6" ht="40.9" customHeight="1">
      <c r="A81" s="26"/>
      <c r="C81" s="30" t="s">
        <v>93</v>
      </c>
      <c r="D81" s="8"/>
      <c r="E81" s="22"/>
    </row>
    <row r="82" spans="1:6" ht="14.45" customHeight="1">
      <c r="D82" s="10"/>
      <c r="E82" s="24"/>
      <c r="F82" s="24"/>
    </row>
    <row r="83" spans="1:6" ht="14.45" customHeight="1">
      <c r="A83" s="8" t="s">
        <v>94</v>
      </c>
      <c r="B83" s="31" t="s">
        <v>95</v>
      </c>
      <c r="D83" s="8"/>
      <c r="E83" s="22"/>
    </row>
    <row r="84" spans="1:6" ht="75" customHeight="1">
      <c r="A84" s="8"/>
      <c r="B84" s="39" t="s">
        <v>96</v>
      </c>
      <c r="C84" s="39"/>
      <c r="E84" s="41"/>
      <c r="F84" s="41"/>
    </row>
    <row r="85" spans="1:6">
      <c r="A85" s="26" t="s">
        <v>97</v>
      </c>
      <c r="C85" s="31" t="s">
        <v>98</v>
      </c>
      <c r="D85" s="8"/>
      <c r="E85" s="22"/>
      <c r="F85" s="24"/>
    </row>
    <row r="86" spans="1:6" ht="57.6">
      <c r="A86" s="26"/>
      <c r="C86" s="27" t="s">
        <v>99</v>
      </c>
      <c r="D86" s="8"/>
    </row>
    <row r="87" spans="1:6">
      <c r="A87" s="8"/>
      <c r="C87" s="27"/>
      <c r="D87" s="8"/>
      <c r="E87" s="22"/>
      <c r="F87" s="24"/>
    </row>
    <row r="88" spans="1:6">
      <c r="A88" s="8" t="s">
        <v>100</v>
      </c>
      <c r="B88" s="31" t="s">
        <v>101</v>
      </c>
      <c r="C88" s="36"/>
      <c r="E88" s="41"/>
      <c r="F88" s="41"/>
    </row>
    <row r="89" spans="1:6" ht="71.45" customHeight="1">
      <c r="A89"/>
      <c r="B89" s="39" t="s">
        <v>102</v>
      </c>
      <c r="C89" s="39"/>
    </row>
    <row r="90" spans="1:6">
      <c r="C90" s="31" t="s">
        <v>103</v>
      </c>
      <c r="D90" s="8"/>
      <c r="E90" s="22"/>
    </row>
    <row r="91" spans="1:6" ht="43.15">
      <c r="C91" s="27" t="s">
        <v>104</v>
      </c>
      <c r="E91" s="41"/>
      <c r="F91" s="41"/>
    </row>
    <row r="93" spans="1:6">
      <c r="A93" s="8" t="s">
        <v>105</v>
      </c>
      <c r="B93" s="31" t="s">
        <v>106</v>
      </c>
    </row>
    <row r="94" spans="1:6" ht="32.450000000000003" customHeight="1">
      <c r="B94" s="39" t="s">
        <v>107</v>
      </c>
      <c r="C94" s="39"/>
    </row>
    <row r="97" spans="1:6">
      <c r="A97" s="44" t="s">
        <v>108</v>
      </c>
      <c r="B97" s="44"/>
      <c r="C97" s="44"/>
    </row>
    <row r="99" spans="1:6">
      <c r="A99" s="8" t="s">
        <v>109</v>
      </c>
      <c r="B99" s="31" t="s">
        <v>110</v>
      </c>
      <c r="E99" s="22"/>
    </row>
    <row r="100" spans="1:6" ht="51" customHeight="1">
      <c r="B100" s="39" t="s">
        <v>111</v>
      </c>
      <c r="C100" s="39"/>
      <c r="E100" s="41"/>
      <c r="F100" s="41"/>
    </row>
    <row r="102" spans="1:6">
      <c r="A102" s="8" t="s">
        <v>112</v>
      </c>
      <c r="B102" s="31" t="s">
        <v>113</v>
      </c>
      <c r="E102" s="22"/>
    </row>
    <row r="103" spans="1:6" ht="30" customHeight="1">
      <c r="B103" s="39" t="s">
        <v>114</v>
      </c>
      <c r="C103" s="39"/>
      <c r="E103" s="41"/>
      <c r="F103" s="41"/>
    </row>
    <row r="105" spans="1:6">
      <c r="A105" s="8" t="s">
        <v>115</v>
      </c>
      <c r="B105" s="31" t="s">
        <v>116</v>
      </c>
    </row>
    <row r="106" spans="1:6">
      <c r="B106" s="29" t="s">
        <v>117</v>
      </c>
    </row>
    <row r="109" spans="1:6">
      <c r="A109" s="44" t="s">
        <v>118</v>
      </c>
      <c r="B109" s="44"/>
      <c r="C109" s="44"/>
    </row>
    <row r="111" spans="1:6">
      <c r="A111" s="8" t="s">
        <v>119</v>
      </c>
      <c r="B111" s="31" t="s">
        <v>120</v>
      </c>
      <c r="D111" s="8"/>
      <c r="E111" s="19"/>
    </row>
    <row r="112" spans="1:6" ht="76.150000000000006" customHeight="1">
      <c r="B112" s="39" t="s">
        <v>121</v>
      </c>
      <c r="C112" s="39"/>
      <c r="E112" s="41"/>
      <c r="F112" s="41"/>
    </row>
    <row r="113" spans="1:6" ht="15" customHeight="1">
      <c r="B113" s="28"/>
      <c r="C113" s="27"/>
    </row>
    <row r="114" spans="1:6" ht="15" customHeight="1">
      <c r="A114" s="8" t="s">
        <v>122</v>
      </c>
      <c r="B114" s="45" t="s">
        <v>122</v>
      </c>
      <c r="C114" s="45"/>
    </row>
    <row r="115" spans="1:6" ht="75.599999999999994" customHeight="1">
      <c r="B115" s="39" t="s">
        <v>123</v>
      </c>
      <c r="C115" s="39"/>
    </row>
    <row r="116" spans="1:6" ht="15" customHeight="1">
      <c r="B116" s="28"/>
      <c r="C116" s="27"/>
    </row>
    <row r="117" spans="1:6" ht="15" customHeight="1">
      <c r="A117" s="8" t="s">
        <v>124</v>
      </c>
      <c r="B117" s="45" t="s">
        <v>124</v>
      </c>
      <c r="C117" s="45"/>
    </row>
    <row r="118" spans="1:6" ht="33.6" customHeight="1">
      <c r="B118" s="39" t="s">
        <v>125</v>
      </c>
      <c r="C118" s="39"/>
      <c r="D118" s="10"/>
    </row>
    <row r="120" spans="1:6">
      <c r="A120" s="44" t="s">
        <v>126</v>
      </c>
      <c r="B120" s="44"/>
      <c r="C120" s="44"/>
      <c r="D120" s="44" t="s">
        <v>126</v>
      </c>
      <c r="E120" s="44"/>
      <c r="F120" s="44"/>
    </row>
    <row r="122" spans="1:6">
      <c r="A122" s="9" t="str">
        <f>"Transfer - "&amp;B122</f>
        <v>Transfer - Generic</v>
      </c>
      <c r="B122" s="31" t="s">
        <v>127</v>
      </c>
      <c r="D122" s="9"/>
      <c r="E122" s="19"/>
      <c r="F122" s="15"/>
    </row>
    <row r="123" spans="1:6" ht="46.9" customHeight="1">
      <c r="B123" s="39" t="s">
        <v>128</v>
      </c>
      <c r="C123" s="39"/>
      <c r="D123" s="10"/>
      <c r="E123" s="41"/>
      <c r="F123" s="41"/>
    </row>
    <row r="124" spans="1:6">
      <c r="A124" s="13"/>
      <c r="D124" s="10"/>
      <c r="E124" s="41"/>
      <c r="F124" s="41"/>
    </row>
    <row r="125" spans="1:6">
      <c r="A125" s="9" t="str">
        <f>"Transfer - "&amp;B125</f>
        <v>Transfer - Generic CA</v>
      </c>
      <c r="B125" s="31" t="s">
        <v>129</v>
      </c>
      <c r="D125" s="9"/>
      <c r="E125" s="19"/>
      <c r="F125" s="15"/>
    </row>
    <row r="126" spans="1:6" ht="76.150000000000006" customHeight="1">
      <c r="B126" s="39" t="s">
        <v>130</v>
      </c>
      <c r="C126" s="39"/>
      <c r="D126" s="10"/>
      <c r="E126" s="41"/>
      <c r="F126" s="41"/>
    </row>
    <row r="127" spans="1:6">
      <c r="B127" s="27"/>
      <c r="C127" s="27"/>
      <c r="D127" s="10"/>
      <c r="E127" s="24"/>
      <c r="F127" s="24"/>
    </row>
    <row r="128" spans="1:6">
      <c r="A128" s="8" t="s">
        <v>131</v>
      </c>
      <c r="B128" s="31" t="s">
        <v>132</v>
      </c>
      <c r="D128" s="10"/>
      <c r="E128" s="41"/>
      <c r="F128" s="41"/>
    </row>
    <row r="129" spans="1:11" ht="46.15" customHeight="1">
      <c r="B129" s="39" t="s">
        <v>133</v>
      </c>
      <c r="C129" s="39"/>
      <c r="D129" s="10"/>
      <c r="E129" s="41"/>
      <c r="F129" s="41"/>
    </row>
    <row r="130" spans="1:11">
      <c r="A130" s="13"/>
      <c r="D130" s="10"/>
      <c r="E130" s="41"/>
      <c r="F130" s="41"/>
    </row>
    <row r="131" spans="1:11">
      <c r="A131" s="23" t="s">
        <v>134</v>
      </c>
      <c r="B131" s="31" t="s">
        <v>135</v>
      </c>
      <c r="C131" s="37"/>
      <c r="D131" s="10"/>
      <c r="E131" s="41"/>
      <c r="F131" s="41"/>
      <c r="H131" s="1"/>
      <c r="I131" s="1"/>
      <c r="J131"/>
      <c r="K131"/>
    </row>
    <row r="132" spans="1:11" ht="43.9" customHeight="1">
      <c r="A132" s="13"/>
      <c r="B132" s="39" t="s">
        <v>136</v>
      </c>
      <c r="C132" s="39"/>
      <c r="D132" s="10"/>
      <c r="E132" s="41"/>
      <c r="F132" s="41"/>
      <c r="H132" s="1"/>
      <c r="I132" s="1"/>
      <c r="J132"/>
      <c r="K132"/>
    </row>
    <row r="133" spans="1:11">
      <c r="D133" s="10"/>
      <c r="E133" s="41"/>
      <c r="F133" s="41"/>
    </row>
    <row r="134" spans="1:11">
      <c r="A134" s="8" t="s">
        <v>137</v>
      </c>
      <c r="C134" s="32" t="s">
        <v>138</v>
      </c>
      <c r="D134" s="10"/>
      <c r="E134" s="41"/>
      <c r="F134" s="41"/>
    </row>
    <row r="135" spans="1:11" ht="57.6">
      <c r="C135" s="30" t="s">
        <v>139</v>
      </c>
      <c r="D135" s="10"/>
      <c r="E135" s="41"/>
      <c r="F135" s="41"/>
    </row>
    <row r="137" spans="1:11">
      <c r="A137" s="8" t="s">
        <v>140</v>
      </c>
      <c r="B137" s="31" t="s">
        <v>141</v>
      </c>
    </row>
    <row r="138" spans="1:11">
      <c r="B138" s="29" t="s">
        <v>142</v>
      </c>
    </row>
    <row r="140" spans="1:11">
      <c r="A140" s="8" t="s">
        <v>143</v>
      </c>
      <c r="C140" s="32" t="s">
        <v>144</v>
      </c>
    </row>
    <row r="141" spans="1:11" ht="28.9">
      <c r="C141" s="30" t="s">
        <v>145</v>
      </c>
    </row>
    <row r="143" spans="1:11">
      <c r="A143" s="8" t="s">
        <v>146</v>
      </c>
      <c r="B143" s="31" t="s">
        <v>147</v>
      </c>
    </row>
    <row r="144" spans="1:11">
      <c r="B144" s="28" t="s">
        <v>148</v>
      </c>
    </row>
    <row r="146" spans="1:3">
      <c r="A146" s="8" t="s">
        <v>149</v>
      </c>
      <c r="C146" s="32" t="s">
        <v>150</v>
      </c>
    </row>
    <row r="147" spans="1:3">
      <c r="C147" s="27" t="s">
        <v>151</v>
      </c>
    </row>
    <row r="149" spans="1:3">
      <c r="A149" s="8" t="s">
        <v>152</v>
      </c>
      <c r="C149" s="32" t="s">
        <v>153</v>
      </c>
    </row>
    <row r="150" spans="1:3" ht="28.9">
      <c r="C150" s="27" t="s">
        <v>154</v>
      </c>
    </row>
    <row r="152" spans="1:3">
      <c r="A152" s="8" t="s">
        <v>155</v>
      </c>
      <c r="B152" s="31" t="s">
        <v>156</v>
      </c>
    </row>
    <row r="153" spans="1:3">
      <c r="B153" s="39" t="s">
        <v>157</v>
      </c>
      <c r="C153" s="39"/>
    </row>
    <row r="155" spans="1:3">
      <c r="A155" s="8" t="s">
        <v>158</v>
      </c>
      <c r="C155" s="32" t="s">
        <v>159</v>
      </c>
    </row>
    <row r="156" spans="1:3">
      <c r="C156" s="27" t="s">
        <v>160</v>
      </c>
    </row>
    <row r="158" spans="1:3">
      <c r="A158" s="8" t="s">
        <v>161</v>
      </c>
      <c r="B158" s="31" t="s">
        <v>162</v>
      </c>
    </row>
    <row r="159" spans="1:3">
      <c r="B159" s="28" t="s">
        <v>163</v>
      </c>
    </row>
    <row r="160" spans="1:3">
      <c r="B160" s="28"/>
    </row>
    <row r="161" spans="1:3">
      <c r="A161" s="8" t="s">
        <v>164</v>
      </c>
      <c r="C161" s="32" t="s">
        <v>165</v>
      </c>
    </row>
    <row r="162" spans="1:3">
      <c r="C162" s="30" t="s">
        <v>166</v>
      </c>
    </row>
    <row r="164" spans="1:3">
      <c r="A164" s="8" t="s">
        <v>167</v>
      </c>
      <c r="C164" s="32" t="s">
        <v>168</v>
      </c>
    </row>
    <row r="165" spans="1:3" ht="28.9">
      <c r="C165" s="27" t="s">
        <v>169</v>
      </c>
    </row>
    <row r="166" spans="1:3">
      <c r="C166" s="27"/>
    </row>
    <row r="167" spans="1:3">
      <c r="A167" s="8" t="s">
        <v>170</v>
      </c>
      <c r="C167" s="32" t="s">
        <v>171</v>
      </c>
    </row>
    <row r="168" spans="1:3">
      <c r="C168" s="30" t="s">
        <v>172</v>
      </c>
    </row>
    <row r="169" spans="1:3">
      <c r="A169" s="8" t="s">
        <v>173</v>
      </c>
      <c r="B169" s="31" t="s">
        <v>174</v>
      </c>
    </row>
    <row r="170" spans="1:3">
      <c r="B170" s="28" t="s">
        <v>175</v>
      </c>
    </row>
    <row r="172" spans="1:3">
      <c r="A172" s="8" t="s">
        <v>176</v>
      </c>
      <c r="C172" s="32" t="s">
        <v>177</v>
      </c>
    </row>
    <row r="173" spans="1:3">
      <c r="C173" s="27" t="s">
        <v>178</v>
      </c>
    </row>
    <row r="175" spans="1:3">
      <c r="A175" s="8" t="s">
        <v>179</v>
      </c>
      <c r="C175" s="32" t="s">
        <v>180</v>
      </c>
    </row>
    <row r="176" spans="1:3">
      <c r="C176" s="27" t="s">
        <v>181</v>
      </c>
    </row>
    <row r="178" spans="1:10">
      <c r="A178" s="8" t="s">
        <v>182</v>
      </c>
      <c r="B178" s="31" t="s">
        <v>183</v>
      </c>
    </row>
    <row r="179" spans="1:10" ht="76.900000000000006" customHeight="1">
      <c r="B179" s="39" t="s">
        <v>184</v>
      </c>
      <c r="C179" s="39"/>
      <c r="J179" s="8" t="s">
        <v>185</v>
      </c>
    </row>
    <row r="181" spans="1:10">
      <c r="A181" s="44" t="s">
        <v>186</v>
      </c>
      <c r="B181" s="44"/>
      <c r="C181" s="44"/>
    </row>
    <row r="182" spans="1:10">
      <c r="B182" s="38"/>
    </row>
    <row r="183" spans="1:10">
      <c r="A183" s="8" t="s">
        <v>187</v>
      </c>
      <c r="B183" s="31" t="s">
        <v>188</v>
      </c>
      <c r="J183" s="8"/>
    </row>
    <row r="184" spans="1:10" ht="36.6" customHeight="1">
      <c r="B184" s="39" t="s">
        <v>189</v>
      </c>
      <c r="C184" s="40"/>
    </row>
    <row r="185" spans="1:10">
      <c r="J185" s="8"/>
    </row>
    <row r="186" spans="1:10">
      <c r="A186" s="8" t="s">
        <v>190</v>
      </c>
      <c r="B186" s="31" t="s">
        <v>191</v>
      </c>
      <c r="J186" s="8"/>
    </row>
    <row r="187" spans="1:10" ht="61.9" customHeight="1">
      <c r="A187" s="8"/>
      <c r="B187" s="39" t="s">
        <v>192</v>
      </c>
      <c r="C187" s="39"/>
      <c r="J187" s="8"/>
    </row>
    <row r="188" spans="1:10">
      <c r="A188" s="8"/>
    </row>
    <row r="189" spans="1:10">
      <c r="A189" s="8" t="s">
        <v>193</v>
      </c>
      <c r="C189" s="32" t="s">
        <v>165</v>
      </c>
      <c r="J189" s="8"/>
    </row>
    <row r="190" spans="1:10" ht="40.9" customHeight="1">
      <c r="A190" s="8"/>
      <c r="C190" s="30" t="s">
        <v>194</v>
      </c>
      <c r="E190" s="20"/>
      <c r="F190" s="21"/>
      <c r="J190" s="8"/>
    </row>
    <row r="191" spans="1:10" ht="14.45" customHeight="1">
      <c r="A191" s="8"/>
      <c r="C191" s="32" t="s">
        <v>195</v>
      </c>
      <c r="E191" s="20"/>
      <c r="F191" s="21"/>
      <c r="J191" s="8"/>
    </row>
    <row r="192" spans="1:10" ht="27.6" customHeight="1">
      <c r="A192" s="8"/>
      <c r="C192" s="30" t="s">
        <v>196</v>
      </c>
      <c r="E192" s="20"/>
      <c r="F192" s="21"/>
      <c r="J192" s="8"/>
    </row>
    <row r="193" spans="1:10" ht="40.9" customHeight="1">
      <c r="A193" s="8"/>
      <c r="E193" s="20"/>
      <c r="F193" s="21"/>
      <c r="J193" s="8"/>
    </row>
    <row r="194" spans="1:10">
      <c r="A194" s="8" t="s">
        <v>197</v>
      </c>
      <c r="B194" s="31" t="s">
        <v>198</v>
      </c>
      <c r="E194" s="20"/>
      <c r="F194" s="21"/>
    </row>
    <row r="195" spans="1:10" ht="27" customHeight="1">
      <c r="A195" s="8"/>
      <c r="B195" s="39" t="s">
        <v>199</v>
      </c>
      <c r="C195" s="40"/>
      <c r="E195" s="20"/>
      <c r="F195" s="21"/>
    </row>
    <row r="196" spans="1:10">
      <c r="A196" s="8"/>
    </row>
    <row r="197" spans="1:10">
      <c r="A197" t="s">
        <v>200</v>
      </c>
      <c r="C197" s="32" t="s">
        <v>201</v>
      </c>
    </row>
    <row r="198" spans="1:10" ht="28.9">
      <c r="A198" s="8"/>
      <c r="C198" s="30" t="s">
        <v>202</v>
      </c>
    </row>
    <row r="199" spans="1:10">
      <c r="A199" s="8"/>
    </row>
    <row r="200" spans="1:10">
      <c r="A200" s="8" t="s">
        <v>203</v>
      </c>
      <c r="B200" s="31" t="s">
        <v>204</v>
      </c>
    </row>
    <row r="201" spans="1:10" ht="36" customHeight="1">
      <c r="A201" s="8"/>
      <c r="B201" s="39" t="s">
        <v>205</v>
      </c>
      <c r="C201" s="40"/>
    </row>
    <row r="202" spans="1:10">
      <c r="A202" s="8"/>
    </row>
    <row r="203" spans="1:10">
      <c r="A203" s="8" t="s">
        <v>206</v>
      </c>
      <c r="B203" s="31" t="s">
        <v>207</v>
      </c>
    </row>
    <row r="204" spans="1:10" ht="35.450000000000003" customHeight="1">
      <c r="A204" s="8"/>
      <c r="B204" s="39" t="str">
        <f>"Okay, no problem. If you have interest in the future then please visit "&amp;K5&amp;". Thanks for your time. Bye-bye."</f>
        <v>Okay, no problem. If you have interest in the future then please visit NationalHomeProject.com. Thanks for your time. Bye-bye.</v>
      </c>
      <c r="C204" s="39"/>
    </row>
    <row r="205" spans="1:10">
      <c r="A205" s="8"/>
    </row>
    <row r="206" spans="1:10">
      <c r="A206" s="8" t="s">
        <v>208</v>
      </c>
      <c r="B206" s="31" t="s">
        <v>209</v>
      </c>
    </row>
    <row r="207" spans="1:10">
      <c r="A207" s="8"/>
      <c r="B207" s="29" t="s">
        <v>210</v>
      </c>
    </row>
    <row r="208" spans="1:10">
      <c r="A208" s="8"/>
    </row>
    <row r="209" spans="1:3">
      <c r="A209" s="8" t="s">
        <v>211</v>
      </c>
      <c r="B209" s="31" t="s">
        <v>212</v>
      </c>
    </row>
    <row r="210" spans="1:3" ht="30.6" customHeight="1">
      <c r="A210" s="8"/>
      <c r="B210" s="39" t="s">
        <v>213</v>
      </c>
      <c r="C210" s="39"/>
    </row>
    <row r="211" spans="1:3">
      <c r="A211" s="8"/>
    </row>
    <row r="212" spans="1:3">
      <c r="A212" t="s">
        <v>214</v>
      </c>
      <c r="C212" s="32" t="s">
        <v>215</v>
      </c>
    </row>
    <row r="213" spans="1:3">
      <c r="A213" s="8"/>
      <c r="C213" s="30" t="str">
        <f>"So the website is, "&amp;K5&amp;""</f>
        <v>So the website is, NationalHomeProject.com</v>
      </c>
    </row>
    <row r="214" spans="1:3">
      <c r="A214" s="8"/>
    </row>
    <row r="215" spans="1:3">
      <c r="A215" s="8" t="s">
        <v>216</v>
      </c>
      <c r="B215" s="31" t="s">
        <v>217</v>
      </c>
    </row>
    <row r="216" spans="1:3" ht="46.9" customHeight="1">
      <c r="A216" s="8"/>
      <c r="B216" s="39" t="s">
        <v>218</v>
      </c>
      <c r="C216" s="40"/>
    </row>
    <row r="217" spans="1:3" ht="14.45" customHeight="1">
      <c r="A217" s="8"/>
    </row>
    <row r="218" spans="1:3">
      <c r="A218" s="8" t="s">
        <v>219</v>
      </c>
      <c r="B218" s="31" t="s">
        <v>220</v>
      </c>
    </row>
    <row r="219" spans="1:3" ht="72.599999999999994" customHeight="1">
      <c r="A219" s="8"/>
      <c r="B219" s="42" t="s">
        <v>221</v>
      </c>
      <c r="C219" s="43"/>
    </row>
    <row r="220" spans="1:3">
      <c r="A220" s="8"/>
    </row>
    <row r="221" spans="1:3">
      <c r="A221" s="8" t="s">
        <v>222</v>
      </c>
      <c r="B221" s="31" t="s">
        <v>223</v>
      </c>
    </row>
    <row r="222" spans="1:3" ht="42" customHeight="1">
      <c r="A222" s="8"/>
      <c r="B222" s="39" t="s">
        <v>224</v>
      </c>
      <c r="C222" s="40"/>
    </row>
    <row r="223" spans="1:3">
      <c r="A223" s="8"/>
    </row>
    <row r="224" spans="1:3">
      <c r="A224" t="s">
        <v>225</v>
      </c>
      <c r="C224" s="32" t="s">
        <v>215</v>
      </c>
    </row>
    <row r="225" spans="1:6" ht="85.15" customHeight="1">
      <c r="A225" s="8"/>
      <c r="C225" s="30" t="s">
        <v>226</v>
      </c>
    </row>
    <row r="226" spans="1:6" ht="14.45" customHeight="1">
      <c r="A226" s="8"/>
      <c r="E226" s="15"/>
      <c r="F226" s="21"/>
    </row>
    <row r="227" spans="1:6">
      <c r="A227" s="8"/>
      <c r="C227" s="32" t="s">
        <v>227</v>
      </c>
      <c r="E227" s="15"/>
      <c r="F227" s="21"/>
    </row>
    <row r="228" spans="1:6" ht="43.15">
      <c r="A228" s="8"/>
      <c r="C228" s="30" t="s">
        <v>228</v>
      </c>
      <c r="E228" s="15"/>
      <c r="F228" s="21"/>
    </row>
    <row r="229" spans="1:6">
      <c r="A229" s="8"/>
    </row>
    <row r="230" spans="1:6">
      <c r="A230" s="8" t="s">
        <v>229</v>
      </c>
      <c r="B230" s="31" t="s">
        <v>230</v>
      </c>
    </row>
    <row r="231" spans="1:6" ht="69.599999999999994" customHeight="1">
      <c r="A231" s="8"/>
      <c r="B231" s="39" t="s">
        <v>231</v>
      </c>
      <c r="C231" s="40"/>
    </row>
    <row r="232" spans="1:6">
      <c r="A232" s="8"/>
    </row>
    <row r="233" spans="1:6">
      <c r="A233" s="8" t="s">
        <v>232</v>
      </c>
      <c r="B233" s="31" t="s">
        <v>233</v>
      </c>
    </row>
    <row r="234" spans="1:6" ht="102" customHeight="1">
      <c r="A234" s="8"/>
      <c r="B234" s="39"/>
      <c r="C234" s="40"/>
    </row>
    <row r="235" spans="1:6">
      <c r="A235" s="8"/>
    </row>
    <row r="236" spans="1:6">
      <c r="A236" s="8" t="s">
        <v>234</v>
      </c>
      <c r="B236" s="31" t="s">
        <v>235</v>
      </c>
    </row>
    <row r="237" spans="1:6" ht="49.9" customHeight="1">
      <c r="A237" s="8"/>
      <c r="B237" s="39" t="s">
        <v>236</v>
      </c>
      <c r="C237" s="40"/>
    </row>
    <row r="238" spans="1:6">
      <c r="A238" s="8"/>
    </row>
    <row r="239" spans="1:6">
      <c r="A239" s="8" t="s">
        <v>237</v>
      </c>
      <c r="B239" s="31" t="s">
        <v>238</v>
      </c>
    </row>
    <row r="240" spans="1:6" ht="57.6" customHeight="1">
      <c r="A240" s="8"/>
      <c r="B240" s="39" t="s">
        <v>239</v>
      </c>
      <c r="C240" s="39"/>
    </row>
    <row r="241" spans="1:3">
      <c r="A241" s="8"/>
    </row>
    <row r="242" spans="1:3">
      <c r="A242" s="8" t="s">
        <v>240</v>
      </c>
      <c r="B242" s="31" t="s">
        <v>241</v>
      </c>
    </row>
    <row r="243" spans="1:3" ht="30" customHeight="1">
      <c r="A243" s="8"/>
      <c r="B243" s="39" t="s">
        <v>242</v>
      </c>
      <c r="C243" s="39"/>
    </row>
    <row r="244" spans="1:3">
      <c r="A244" s="8"/>
    </row>
    <row r="245" spans="1:3">
      <c r="A245" s="8" t="s">
        <v>243</v>
      </c>
      <c r="B245" s="31" t="s">
        <v>244</v>
      </c>
    </row>
    <row r="246" spans="1:3" ht="33.6" customHeight="1">
      <c r="A246" s="8"/>
      <c r="B246" s="39" t="s">
        <v>245</v>
      </c>
      <c r="C246" s="39"/>
    </row>
    <row r="247" spans="1:3">
      <c r="A247" s="8"/>
    </row>
    <row r="248" spans="1:3">
      <c r="A248" s="8" t="s">
        <v>246</v>
      </c>
      <c r="B248" s="31" t="s">
        <v>247</v>
      </c>
    </row>
    <row r="249" spans="1:3">
      <c r="A249" s="8"/>
      <c r="B249" s="29" t="s">
        <v>248</v>
      </c>
    </row>
    <row r="250" spans="1:3">
      <c r="A250" s="8"/>
    </row>
    <row r="251" spans="1:3">
      <c r="A251" s="8" t="s">
        <v>249</v>
      </c>
      <c r="B251" s="31" t="s">
        <v>250</v>
      </c>
    </row>
    <row r="252" spans="1:3" ht="31.15" customHeight="1">
      <c r="A252" s="8"/>
      <c r="B252" s="39" t="s">
        <v>251</v>
      </c>
      <c r="C252" s="39"/>
    </row>
    <row r="253" spans="1:3">
      <c r="A253" s="8"/>
    </row>
    <row r="254" spans="1:3">
      <c r="A254" t="s">
        <v>252</v>
      </c>
      <c r="C254" s="32" t="s">
        <v>201</v>
      </c>
    </row>
    <row r="255" spans="1:3" ht="28.9">
      <c r="A255" s="8"/>
      <c r="C255" s="30" t="s">
        <v>253</v>
      </c>
    </row>
    <row r="256" spans="1:3">
      <c r="A256" s="8"/>
    </row>
    <row r="257" spans="1:3">
      <c r="A257" s="8" t="s">
        <v>254</v>
      </c>
      <c r="B257" s="31" t="s">
        <v>255</v>
      </c>
    </row>
    <row r="258" spans="1:3">
      <c r="A258" s="8"/>
      <c r="B258" s="29" t="s">
        <v>256</v>
      </c>
    </row>
    <row r="259" spans="1:3">
      <c r="A259" s="8"/>
    </row>
    <row r="260" spans="1:3">
      <c r="A260" s="8" t="s">
        <v>257</v>
      </c>
      <c r="B260" s="31" t="s">
        <v>258</v>
      </c>
    </row>
    <row r="261" spans="1:3" ht="56.45" customHeight="1">
      <c r="A261" s="8"/>
      <c r="B261" s="42" t="s">
        <v>259</v>
      </c>
      <c r="C261" s="43"/>
    </row>
    <row r="262" spans="1:3">
      <c r="A262" s="8"/>
    </row>
    <row r="263" spans="1:3">
      <c r="A263" s="8" t="s">
        <v>260</v>
      </c>
      <c r="B263" s="31" t="s">
        <v>261</v>
      </c>
    </row>
    <row r="264" spans="1:3" ht="64.900000000000006" customHeight="1">
      <c r="A264" s="8"/>
      <c r="B264" s="42" t="str">
        <f>"Well, the reason the number is sometimes different, is because we do use a few different phone numbers through different carriers  and that just helps our efficiency, but rest assured, the number you see IS owned by "&amp;K5&amp;", and if you were to dial that, that would go directly to our customer service, okay?"</f>
        <v>Well, the reason the number is sometimes different, is because we do use a few different phone numbers through different carriers  and that just helps our efficiency, but rest assured, the number you see IS owned by NationalHomeProject.com, and if you were to dial that, that would go directly to our customer service, okay?</v>
      </c>
      <c r="C264" s="43"/>
    </row>
    <row r="265" spans="1:3">
      <c r="A265" s="8"/>
    </row>
    <row r="266" spans="1:3">
      <c r="A266" t="s">
        <v>262</v>
      </c>
      <c r="C266" s="32" t="s">
        <v>215</v>
      </c>
    </row>
    <row r="267" spans="1:3" ht="30" customHeight="1">
      <c r="A267" s="8"/>
      <c r="C267" s="27" t="str">
        <f>"Y’know that's really a technical thing, so I don’t really know the answer to it myself, but as I mentioned, if you did call it back – it does comes to us here at "&amp;K6&amp;", and that is a federal requirement, okay?"</f>
        <v>Y’know that's really a technical thing, so I don’t really know the answer to it myself, but as I mentioned, if you did call it back – it does comes to us here at Top Dial, and that is a federal requirement, okay?</v>
      </c>
    </row>
    <row r="268" spans="1:3">
      <c r="A268" s="8"/>
    </row>
    <row r="269" spans="1:3">
      <c r="A269" s="8" t="s">
        <v>263</v>
      </c>
      <c r="B269" s="31" t="s">
        <v>264</v>
      </c>
    </row>
    <row r="270" spans="1:3">
      <c r="A270" s="8"/>
      <c r="B270" s="29" t="str">
        <f>"My name is "&amp;K4&amp;"."</f>
        <v>My name is Brian Lee.</v>
      </c>
    </row>
    <row r="271" spans="1:3">
      <c r="A271" s="8"/>
    </row>
    <row r="272" spans="1:3">
      <c r="A272" t="s">
        <v>265</v>
      </c>
      <c r="C272" s="32" t="s">
        <v>215</v>
      </c>
    </row>
    <row r="273" spans="1:10" ht="28.9">
      <c r="A273" s="8"/>
      <c r="C273" s="30" t="s">
        <v>266</v>
      </c>
      <c r="J273" s="7"/>
    </row>
    <row r="274" spans="1:10">
      <c r="A274" s="8"/>
    </row>
    <row r="275" spans="1:10">
      <c r="A275" s="8" t="s">
        <v>267</v>
      </c>
      <c r="B275" s="31" t="s">
        <v>268</v>
      </c>
    </row>
    <row r="276" spans="1:10">
      <c r="A276" s="8"/>
      <c r="B276" s="29" t="str">
        <f>"It’s called "&amp;K5&amp;"."</f>
        <v>It’s called NationalHomeProject.com.</v>
      </c>
    </row>
    <row r="277" spans="1:10">
      <c r="A277" s="8"/>
    </row>
    <row r="278" spans="1:10">
      <c r="A278" s="8" t="s">
        <v>269</v>
      </c>
      <c r="B278" s="31" t="s">
        <v>270</v>
      </c>
    </row>
    <row r="279" spans="1:10" ht="36" customHeight="1">
      <c r="A279" s="8"/>
      <c r="B279" s="39" t="s">
        <v>271</v>
      </c>
      <c r="C279" s="40"/>
    </row>
    <row r="280" spans="1:10">
      <c r="A280" s="8"/>
    </row>
    <row r="281" spans="1:10">
      <c r="A281" s="8" t="s">
        <v>272</v>
      </c>
      <c r="B281" s="31" t="s">
        <v>273</v>
      </c>
    </row>
    <row r="282" spans="1:10" ht="30" customHeight="1">
      <c r="A282" s="8"/>
      <c r="B282" s="39" t="s">
        <v>274</v>
      </c>
      <c r="C282" s="40"/>
    </row>
    <row r="283" spans="1:10">
      <c r="A283" s="8"/>
    </row>
    <row r="284" spans="1:10">
      <c r="A284" s="8" t="s">
        <v>275</v>
      </c>
      <c r="B284" s="31" t="s">
        <v>276</v>
      </c>
    </row>
    <row r="285" spans="1:10" ht="33.6" customHeight="1">
      <c r="A285" s="8"/>
      <c r="B285" s="39" t="s">
        <v>277</v>
      </c>
      <c r="C285" s="39"/>
    </row>
    <row r="286" spans="1:10">
      <c r="A286" s="8"/>
    </row>
    <row r="287" spans="1:10">
      <c r="A287" s="8" t="s">
        <v>278</v>
      </c>
      <c r="B287" s="31" t="s">
        <v>279</v>
      </c>
    </row>
    <row r="288" spans="1:10">
      <c r="A288" s="8"/>
      <c r="B288" s="29" t="str">
        <f>K6&amp;" is contracted to make calls on behalf of "&amp;K5&amp;"."</f>
        <v>Top Dial is contracted to make calls on behalf of NationalHomeProject.com.</v>
      </c>
    </row>
    <row r="289" spans="1:3">
      <c r="A289" s="8"/>
    </row>
    <row r="290" spans="1:3">
      <c r="A290" t="s">
        <v>280</v>
      </c>
      <c r="C290" s="32" t="s">
        <v>215</v>
      </c>
    </row>
    <row r="291" spans="1:3" ht="49.9" customHeight="1">
      <c r="A291"/>
      <c r="C291" s="30" t="str">
        <f>"So, "&amp;K6&amp;" is a company specializing in marketing communications. We're calling you today to follow up on an online request for more information about home warranty."</f>
        <v>So, Top Dial is a company specializing in marketing communications. We're calling you today to follow up on an online request for more information about home warranty.</v>
      </c>
    </row>
    <row r="292" spans="1:3">
      <c r="A292"/>
    </row>
    <row r="293" spans="1:3">
      <c r="A293" t="s">
        <v>281</v>
      </c>
      <c r="C293" s="32" t="s">
        <v>227</v>
      </c>
    </row>
    <row r="294" spans="1:3" ht="28.9">
      <c r="A294" s="8"/>
      <c r="C294" s="30" t="s">
        <v>282</v>
      </c>
    </row>
    <row r="295" spans="1:3">
      <c r="A295" s="8"/>
    </row>
    <row r="296" spans="1:3">
      <c r="A296" s="8" t="s">
        <v>283</v>
      </c>
      <c r="B296" s="31" t="s">
        <v>284</v>
      </c>
    </row>
    <row r="297" spans="1:3" ht="57" customHeight="1">
      <c r="A297" s="8"/>
      <c r="B297" s="39" t="str">
        <f>"And again this is "&amp;K4&amp;" and I'm calling on behalf of "&amp;K5&amp;" in regards to an online request for information about home warranty."</f>
        <v>And again this is Brian Lee and I'm calling on behalf of NationalHomeProject.com in regards to an online request for information about home warranty.</v>
      </c>
      <c r="C297" s="39"/>
    </row>
    <row r="298" spans="1:3">
      <c r="A298" s="8"/>
    </row>
    <row r="299" spans="1:3">
      <c r="A299" t="s">
        <v>285</v>
      </c>
      <c r="C299" s="32" t="s">
        <v>215</v>
      </c>
    </row>
    <row r="300" spans="1:3" ht="28.9">
      <c r="A300" s="8"/>
      <c r="B300" s="29" t="s">
        <v>28</v>
      </c>
      <c r="C300" s="30" t="str">
        <f>"We’re calling from a company called "&amp;K6&amp;" on behalf of "&amp;K5&amp;"."</f>
        <v>We’re calling from a company called Top Dial on behalf of NationalHomeProject.com.</v>
      </c>
    </row>
    <row r="301" spans="1:3">
      <c r="A301" s="8"/>
    </row>
    <row r="302" spans="1:3">
      <c r="A302" s="8" t="s">
        <v>286</v>
      </c>
      <c r="B302" s="31" t="s">
        <v>287</v>
      </c>
    </row>
    <row r="303" spans="1:3" ht="30" customHeight="1">
      <c r="A303" s="8"/>
      <c r="B303" s="39" t="s">
        <v>288</v>
      </c>
      <c r="C303" s="40"/>
    </row>
    <row r="304" spans="1:3">
      <c r="A304" s="8"/>
    </row>
    <row r="305" spans="1:3">
      <c r="A305" s="8" t="s">
        <v>289</v>
      </c>
      <c r="B305" s="31" t="s">
        <v>290</v>
      </c>
    </row>
    <row r="306" spans="1:3">
      <c r="A306" s="8"/>
      <c r="B306" s="29" t="str">
        <f>"The customer service number for "&amp;K5&amp;" is: "&amp;LEFT(K9,3)&amp;"-"&amp;MID(K9,4,3)&amp;"-"&amp;RIGHT(K9,4)</f>
        <v>The customer service number for NationalHomeProject.com is: 415-763-5737</v>
      </c>
    </row>
    <row r="307" spans="1:3">
      <c r="A307" s="8"/>
    </row>
    <row r="308" spans="1:3">
      <c r="A308" s="8" t="s">
        <v>291</v>
      </c>
      <c r="B308" s="31" t="s">
        <v>292</v>
      </c>
    </row>
    <row r="309" spans="1:3">
      <c r="A309" s="8"/>
      <c r="B309" s="29" t="str">
        <f>"The website is: "&amp;K5&amp;"."</f>
        <v>The website is: NationalHomeProject.com.</v>
      </c>
    </row>
    <row r="310" spans="1:3">
      <c r="A310" s="8"/>
    </row>
    <row r="311" spans="1:3">
      <c r="A311" s="8" t="s">
        <v>293</v>
      </c>
      <c r="B311" s="31" t="s">
        <v>294</v>
      </c>
    </row>
    <row r="312" spans="1:3">
      <c r="A312" s="8"/>
      <c r="B312" s="29" t="s">
        <v>295</v>
      </c>
    </row>
    <row r="313" spans="1:3">
      <c r="A313" s="8"/>
    </row>
    <row r="314" spans="1:3">
      <c r="A314" s="8" t="s">
        <v>296</v>
      </c>
      <c r="B314" s="31" t="s">
        <v>297</v>
      </c>
    </row>
    <row r="315" spans="1:3">
      <c r="A315" s="8"/>
      <c r="B315" s="29" t="str">
        <f>"I’m calling from "&amp;K6&amp;" on behalf of "&amp;K5&amp;" at, "&amp;LEFT(K9,3)&amp;"-"&amp;MID(K9,4,3)&amp;"-"&amp;RIGHT(K9,4)</f>
        <v>I’m calling from Top Dial on behalf of NationalHomeProject.com at, 415-763-5737</v>
      </c>
    </row>
    <row r="316" spans="1:3">
      <c r="A316" s="8"/>
    </row>
    <row r="317" spans="1:3">
      <c r="A317" s="8" t="s">
        <v>298</v>
      </c>
      <c r="B317" s="31" t="s">
        <v>299</v>
      </c>
    </row>
    <row r="318" spans="1:3" ht="123.6" customHeight="1">
      <c r="A318" s="8"/>
      <c r="B318" s="39" t="s">
        <v>300</v>
      </c>
      <c r="C318" s="40"/>
    </row>
    <row r="319" spans="1:3">
      <c r="A319" s="8"/>
    </row>
    <row r="320" spans="1:3">
      <c r="A320" s="8" t="s">
        <v>301</v>
      </c>
      <c r="B320" s="31" t="s">
        <v>302</v>
      </c>
    </row>
    <row r="321" spans="1:3" ht="60" customHeight="1">
      <c r="A321" s="8"/>
      <c r="B321" s="39" t="s">
        <v>303</v>
      </c>
      <c r="C321" s="40"/>
    </row>
    <row r="322" spans="1:3" ht="20.45" customHeight="1">
      <c r="A322" s="8"/>
    </row>
    <row r="323" spans="1:3">
      <c r="A323" s="8" t="s">
        <v>304</v>
      </c>
      <c r="B323" s="31" t="s">
        <v>305</v>
      </c>
    </row>
    <row r="324" spans="1:3" ht="66.599999999999994" customHeight="1">
      <c r="A324" s="8"/>
      <c r="B324" s="39" t="s">
        <v>306</v>
      </c>
      <c r="C324" s="40"/>
    </row>
    <row r="325" spans="1:3">
      <c r="A325" s="8"/>
    </row>
    <row r="326" spans="1:3">
      <c r="A326" s="8" t="s">
        <v>307</v>
      </c>
      <c r="B326" s="31" t="s">
        <v>308</v>
      </c>
    </row>
    <row r="327" spans="1:3" ht="99" customHeight="1">
      <c r="A327" s="8"/>
      <c r="B327" s="42" t="s">
        <v>309</v>
      </c>
      <c r="C327" s="43"/>
    </row>
    <row r="328" spans="1:3">
      <c r="A328" s="8"/>
    </row>
    <row r="329" spans="1:3">
      <c r="A329" s="8" t="s">
        <v>310</v>
      </c>
      <c r="B329" s="31" t="s">
        <v>311</v>
      </c>
    </row>
    <row r="330" spans="1:3" ht="44.45" customHeight="1">
      <c r="A330" s="8"/>
      <c r="B330" s="39" t="s">
        <v>312</v>
      </c>
      <c r="C330" s="40"/>
    </row>
    <row r="331" spans="1:3">
      <c r="A331" s="8"/>
    </row>
    <row r="332" spans="1:3">
      <c r="A332" t="s">
        <v>313</v>
      </c>
      <c r="C332" s="32" t="s">
        <v>314</v>
      </c>
    </row>
    <row r="333" spans="1:3" ht="43.15">
      <c r="A333"/>
      <c r="C333" s="27" t="s">
        <v>315</v>
      </c>
    </row>
    <row r="334" spans="1:3">
      <c r="A334"/>
    </row>
    <row r="335" spans="1:3">
      <c r="A335" t="s">
        <v>316</v>
      </c>
      <c r="C335" s="32" t="s">
        <v>317</v>
      </c>
    </row>
    <row r="336" spans="1:3" ht="30" customHeight="1">
      <c r="A336"/>
      <c r="C336" s="30" t="s">
        <v>318</v>
      </c>
    </row>
    <row r="337" spans="1:6">
      <c r="A337"/>
    </row>
    <row r="338" spans="1:6">
      <c r="A338" t="s">
        <v>319</v>
      </c>
      <c r="C338" s="32" t="s">
        <v>320</v>
      </c>
    </row>
    <row r="339" spans="1:6" ht="28.9">
      <c r="A339"/>
      <c r="C339" s="30" t="s">
        <v>321</v>
      </c>
    </row>
    <row r="340" spans="1:6">
      <c r="A340"/>
    </row>
    <row r="341" spans="1:6">
      <c r="A341" t="s">
        <v>322</v>
      </c>
      <c r="C341" s="32" t="s">
        <v>323</v>
      </c>
    </row>
    <row r="342" spans="1:6" ht="30" customHeight="1">
      <c r="A342" s="8"/>
      <c r="C342" s="27" t="s">
        <v>324</v>
      </c>
    </row>
    <row r="343" spans="1:6">
      <c r="A343" s="8"/>
    </row>
    <row r="344" spans="1:6">
      <c r="A344" s="8" t="s">
        <v>325</v>
      </c>
      <c r="B344" s="31" t="s">
        <v>326</v>
      </c>
      <c r="E344" s="19"/>
      <c r="F344" s="15"/>
    </row>
    <row r="345" spans="1:6" ht="35.450000000000003" customHeight="1">
      <c r="A345" s="8"/>
      <c r="B345" s="39" t="s">
        <v>327</v>
      </c>
      <c r="C345" s="40"/>
      <c r="E345" s="41"/>
      <c r="F345" s="48"/>
    </row>
    <row r="347" spans="1:6">
      <c r="A347" s="8" t="s">
        <v>328</v>
      </c>
      <c r="B347" s="31" t="s">
        <v>328</v>
      </c>
    </row>
    <row r="348" spans="1:6">
      <c r="A348" s="8"/>
      <c r="B348" s="39" t="s">
        <v>329</v>
      </c>
      <c r="C348" s="40"/>
    </row>
    <row r="350" spans="1:6">
      <c r="B350" s="31"/>
      <c r="C350" s="31" t="s">
        <v>330</v>
      </c>
    </row>
    <row r="351" spans="1:6">
      <c r="C351" s="30" t="s">
        <v>331</v>
      </c>
    </row>
  </sheetData>
  <mergeCells count="88">
    <mergeCell ref="B348:C348"/>
    <mergeCell ref="B126:C126"/>
    <mergeCell ref="E126:F126"/>
    <mergeCell ref="B153:C153"/>
    <mergeCell ref="A2:C2"/>
    <mergeCell ref="E345:F345"/>
    <mergeCell ref="E61:F61"/>
    <mergeCell ref="E88:F88"/>
    <mergeCell ref="E100:F100"/>
    <mergeCell ref="E67:F67"/>
    <mergeCell ref="E132:F132"/>
    <mergeCell ref="E103:F103"/>
    <mergeCell ref="E84:F84"/>
    <mergeCell ref="B210:C210"/>
    <mergeCell ref="B184:C184"/>
    <mergeCell ref="B187:C187"/>
    <mergeCell ref="B61:C61"/>
    <mergeCell ref="B63:C63"/>
    <mergeCell ref="B64:C64"/>
    <mergeCell ref="B100:C100"/>
    <mergeCell ref="B66:C66"/>
    <mergeCell ref="B67:C67"/>
    <mergeCell ref="A97:C97"/>
    <mergeCell ref="B84:C84"/>
    <mergeCell ref="B79:C79"/>
    <mergeCell ref="B89:C89"/>
    <mergeCell ref="B94:C94"/>
    <mergeCell ref="E50:F50"/>
    <mergeCell ref="E112:F112"/>
    <mergeCell ref="D120:F120"/>
    <mergeCell ref="E123:F123"/>
    <mergeCell ref="E53:F53"/>
    <mergeCell ref="E66:F66"/>
    <mergeCell ref="B282:C282"/>
    <mergeCell ref="B234:C234"/>
    <mergeCell ref="B237:C237"/>
    <mergeCell ref="B240:C240"/>
    <mergeCell ref="B243:C243"/>
    <mergeCell ref="B246:C246"/>
    <mergeCell ref="B261:C261"/>
    <mergeCell ref="B264:C264"/>
    <mergeCell ref="B216:C216"/>
    <mergeCell ref="B219:C219"/>
    <mergeCell ref="B222:C222"/>
    <mergeCell ref="B231:C231"/>
    <mergeCell ref="B279:C279"/>
    <mergeCell ref="A4:C4"/>
    <mergeCell ref="A24:C24"/>
    <mergeCell ref="A47:C47"/>
    <mergeCell ref="A58:C58"/>
    <mergeCell ref="B50:C50"/>
    <mergeCell ref="B30:C30"/>
    <mergeCell ref="E79:F79"/>
    <mergeCell ref="E91:F91"/>
    <mergeCell ref="A109:C109"/>
    <mergeCell ref="A120:C120"/>
    <mergeCell ref="A181:C181"/>
    <mergeCell ref="B103:C103"/>
    <mergeCell ref="B114:C114"/>
    <mergeCell ref="B115:C115"/>
    <mergeCell ref="B179:C179"/>
    <mergeCell ref="B112:C112"/>
    <mergeCell ref="B117:C117"/>
    <mergeCell ref="B118:C118"/>
    <mergeCell ref="B132:C132"/>
    <mergeCell ref="E124:F124"/>
    <mergeCell ref="E128:F128"/>
    <mergeCell ref="E130:F130"/>
    <mergeCell ref="E131:F131"/>
    <mergeCell ref="E129:F129"/>
    <mergeCell ref="B123:C123"/>
    <mergeCell ref="B129:C129"/>
    <mergeCell ref="B345:C345"/>
    <mergeCell ref="E133:F133"/>
    <mergeCell ref="E134:F134"/>
    <mergeCell ref="E135:F135"/>
    <mergeCell ref="B285:C285"/>
    <mergeCell ref="B252:C252"/>
    <mergeCell ref="B204:C204"/>
    <mergeCell ref="B327:C327"/>
    <mergeCell ref="B330:C330"/>
    <mergeCell ref="B297:C297"/>
    <mergeCell ref="B318:C318"/>
    <mergeCell ref="B321:C321"/>
    <mergeCell ref="B324:C324"/>
    <mergeCell ref="B195:C195"/>
    <mergeCell ref="B303:C303"/>
    <mergeCell ref="B201:C201"/>
  </mergeCells>
  <hyperlinks>
    <hyperlink ref="K10"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7"/>
  <sheetViews>
    <sheetView showGridLines="0" topLeftCell="A118" workbookViewId="0">
      <selection activeCell="B91" sqref="B91:B93"/>
    </sheetView>
  </sheetViews>
  <sheetFormatPr defaultRowHeight="14.45"/>
  <cols>
    <col min="1" max="1" width="22.7109375" bestFit="1" customWidth="1"/>
  </cols>
  <sheetData>
    <row r="1" spans="1:2">
      <c r="A1" t="s">
        <v>332</v>
      </c>
      <c r="B1" t="s">
        <v>333</v>
      </c>
    </row>
    <row r="2" spans="1:2">
      <c r="A2" t="s">
        <v>334</v>
      </c>
      <c r="B2" t="s">
        <v>335</v>
      </c>
    </row>
    <row r="3" spans="1:2">
      <c r="A3" t="s">
        <v>336</v>
      </c>
      <c r="B3" t="s">
        <v>337</v>
      </c>
    </row>
    <row r="4" spans="1:2">
      <c r="A4" t="s">
        <v>338</v>
      </c>
      <c r="B4" t="s">
        <v>339</v>
      </c>
    </row>
    <row r="5" spans="1:2">
      <c r="A5" t="s">
        <v>340</v>
      </c>
      <c r="B5" t="s">
        <v>341</v>
      </c>
    </row>
    <row r="6" spans="1:2">
      <c r="A6" t="s">
        <v>342</v>
      </c>
      <c r="B6" t="s">
        <v>343</v>
      </c>
    </row>
    <row r="7" spans="1:2">
      <c r="A7" t="s">
        <v>344</v>
      </c>
      <c r="B7" t="s">
        <v>345</v>
      </c>
    </row>
    <row r="8" spans="1:2">
      <c r="A8" t="s">
        <v>346</v>
      </c>
      <c r="B8" t="s">
        <v>347</v>
      </c>
    </row>
    <row r="9" spans="1:2">
      <c r="A9" t="s">
        <v>348</v>
      </c>
      <c r="B9" t="s">
        <v>349</v>
      </c>
    </row>
    <row r="10" spans="1:2">
      <c r="A10" t="s">
        <v>350</v>
      </c>
      <c r="B10" t="s">
        <v>351</v>
      </c>
    </row>
    <row r="11" spans="1:2">
      <c r="A11" t="s">
        <v>352</v>
      </c>
      <c r="B11" t="s">
        <v>353</v>
      </c>
    </row>
    <row r="12" spans="1:2">
      <c r="A12" t="s">
        <v>354</v>
      </c>
      <c r="B12" t="s">
        <v>355</v>
      </c>
    </row>
    <row r="13" spans="1:2">
      <c r="A13" t="s">
        <v>356</v>
      </c>
      <c r="B13" t="s">
        <v>357</v>
      </c>
    </row>
    <row r="14" spans="1:2">
      <c r="A14" t="s">
        <v>358</v>
      </c>
      <c r="B14" t="s">
        <v>359</v>
      </c>
    </row>
    <row r="15" spans="1:2">
      <c r="A15" t="s">
        <v>360</v>
      </c>
      <c r="B15" t="s">
        <v>361</v>
      </c>
    </row>
    <row r="16" spans="1:2">
      <c r="A16" t="s">
        <v>362</v>
      </c>
      <c r="B16" t="s">
        <v>363</v>
      </c>
    </row>
    <row r="17" spans="1:2">
      <c r="A17" t="s">
        <v>364</v>
      </c>
      <c r="B17" t="s">
        <v>365</v>
      </c>
    </row>
    <row r="18" spans="1:2">
      <c r="A18" t="s">
        <v>366</v>
      </c>
      <c r="B18" t="s">
        <v>367</v>
      </c>
    </row>
    <row r="19" spans="1:2">
      <c r="A19" t="s">
        <v>368</v>
      </c>
      <c r="B19" t="s">
        <v>369</v>
      </c>
    </row>
    <row r="20" spans="1:2">
      <c r="A20" t="s">
        <v>370</v>
      </c>
      <c r="B20" t="s">
        <v>371</v>
      </c>
    </row>
    <row r="21" spans="1:2">
      <c r="A21" t="s">
        <v>372</v>
      </c>
      <c r="B21" t="s">
        <v>373</v>
      </c>
    </row>
    <row r="22" spans="1:2">
      <c r="A22" t="s">
        <v>374</v>
      </c>
      <c r="B22" t="s">
        <v>375</v>
      </c>
    </row>
    <row r="23" spans="1:2">
      <c r="A23" t="s">
        <v>376</v>
      </c>
      <c r="B23" t="s">
        <v>377</v>
      </c>
    </row>
    <row r="24" spans="1:2">
      <c r="A24" t="s">
        <v>378</v>
      </c>
      <c r="B24" t="s">
        <v>379</v>
      </c>
    </row>
    <row r="25" spans="1:2">
      <c r="A25" t="s">
        <v>380</v>
      </c>
      <c r="B25" t="s">
        <v>381</v>
      </c>
    </row>
    <row r="26" spans="1:2">
      <c r="A26" t="s">
        <v>382</v>
      </c>
      <c r="B26" t="s">
        <v>383</v>
      </c>
    </row>
    <row r="27" spans="1:2">
      <c r="A27" t="s">
        <v>384</v>
      </c>
      <c r="B27" t="s">
        <v>385</v>
      </c>
    </row>
    <row r="28" spans="1:2">
      <c r="A28" t="s">
        <v>386</v>
      </c>
      <c r="B28" t="s">
        <v>387</v>
      </c>
    </row>
    <row r="29" spans="1:2">
      <c r="A29" t="s">
        <v>388</v>
      </c>
      <c r="B29" t="s">
        <v>389</v>
      </c>
    </row>
    <row r="30" spans="1:2">
      <c r="A30" t="s">
        <v>390</v>
      </c>
      <c r="B30" t="s">
        <v>391</v>
      </c>
    </row>
    <row r="31" spans="1:2">
      <c r="A31" t="s">
        <v>392</v>
      </c>
      <c r="B31" t="s">
        <v>393</v>
      </c>
    </row>
    <row r="32" spans="1:2">
      <c r="A32" t="s">
        <v>394</v>
      </c>
      <c r="B32" t="s">
        <v>395</v>
      </c>
    </row>
    <row r="33" spans="1:2">
      <c r="A33" t="s">
        <v>396</v>
      </c>
      <c r="B33" t="s">
        <v>397</v>
      </c>
    </row>
    <row r="34" spans="1:2">
      <c r="A34" t="s">
        <v>398</v>
      </c>
      <c r="B34" t="s">
        <v>399</v>
      </c>
    </row>
    <row r="35" spans="1:2">
      <c r="A35" t="s">
        <v>400</v>
      </c>
      <c r="B35" t="s">
        <v>399</v>
      </c>
    </row>
    <row r="36" spans="1:2">
      <c r="A36" t="s">
        <v>401</v>
      </c>
      <c r="B36" t="s">
        <v>399</v>
      </c>
    </row>
    <row r="37" spans="1:2">
      <c r="A37" t="s">
        <v>402</v>
      </c>
      <c r="B37" t="s">
        <v>403</v>
      </c>
    </row>
    <row r="38" spans="1:2">
      <c r="A38" t="s">
        <v>404</v>
      </c>
      <c r="B38" t="s">
        <v>405</v>
      </c>
    </row>
    <row r="39" spans="1:2">
      <c r="A39" t="s">
        <v>406</v>
      </c>
      <c r="B39" t="s">
        <v>407</v>
      </c>
    </row>
    <row r="40" spans="1:2">
      <c r="A40" t="s">
        <v>408</v>
      </c>
      <c r="B40" t="s">
        <v>409</v>
      </c>
    </row>
    <row r="41" spans="1:2">
      <c r="A41" t="s">
        <v>410</v>
      </c>
      <c r="B41" t="s">
        <v>411</v>
      </c>
    </row>
    <row r="42" spans="1:2">
      <c r="A42" t="s">
        <v>412</v>
      </c>
      <c r="B42" t="s">
        <v>413</v>
      </c>
    </row>
    <row r="43" spans="1:2">
      <c r="A43" t="s">
        <v>414</v>
      </c>
      <c r="B43" t="s">
        <v>415</v>
      </c>
    </row>
    <row r="44" spans="1:2">
      <c r="A44" t="s">
        <v>416</v>
      </c>
      <c r="B44" t="s">
        <v>417</v>
      </c>
    </row>
    <row r="45" spans="1:2">
      <c r="A45" t="s">
        <v>418</v>
      </c>
      <c r="B45" t="s">
        <v>419</v>
      </c>
    </row>
    <row r="46" spans="1:2">
      <c r="A46" t="s">
        <v>420</v>
      </c>
      <c r="B46" t="s">
        <v>421</v>
      </c>
    </row>
    <row r="47" spans="1:2">
      <c r="A47" t="s">
        <v>422</v>
      </c>
      <c r="B47">
        <v>763</v>
      </c>
    </row>
    <row r="48" spans="1:2">
      <c r="A48" t="s">
        <v>423</v>
      </c>
      <c r="B48">
        <v>5737</v>
      </c>
    </row>
    <row r="49" spans="1:2">
      <c r="A49" t="s">
        <v>424</v>
      </c>
      <c r="B49" t="s">
        <v>425</v>
      </c>
    </row>
    <row r="50" spans="1:2">
      <c r="A50" t="s">
        <v>426</v>
      </c>
      <c r="B50" t="s">
        <v>427</v>
      </c>
    </row>
    <row r="51" spans="1:2">
      <c r="A51" t="s">
        <v>428</v>
      </c>
      <c r="B51" t="s">
        <v>429</v>
      </c>
    </row>
    <row r="52" spans="1:2">
      <c r="A52" t="s">
        <v>430</v>
      </c>
      <c r="B52" t="s">
        <v>431</v>
      </c>
    </row>
    <row r="53" spans="1:2">
      <c r="A53" t="s">
        <v>432</v>
      </c>
      <c r="B53" t="s">
        <v>433</v>
      </c>
    </row>
    <row r="54" spans="1:2">
      <c r="A54" t="s">
        <v>434</v>
      </c>
      <c r="B54" t="s">
        <v>435</v>
      </c>
    </row>
    <row r="55" spans="1:2">
      <c r="A55" t="s">
        <v>436</v>
      </c>
      <c r="B55" t="s">
        <v>437</v>
      </c>
    </row>
    <row r="56" spans="1:2">
      <c r="A56" t="s">
        <v>438</v>
      </c>
      <c r="B56" t="s">
        <v>439</v>
      </c>
    </row>
    <row r="57" spans="1:2">
      <c r="A57" t="s">
        <v>440</v>
      </c>
      <c r="B57" t="s">
        <v>441</v>
      </c>
    </row>
    <row r="58" spans="1:2">
      <c r="A58" t="s">
        <v>442</v>
      </c>
      <c r="B58" t="s">
        <v>443</v>
      </c>
    </row>
    <row r="59" spans="1:2">
      <c r="A59" t="s">
        <v>444</v>
      </c>
      <c r="B59" t="s">
        <v>445</v>
      </c>
    </row>
    <row r="60" spans="1:2">
      <c r="A60" t="s">
        <v>446</v>
      </c>
      <c r="B60" t="s">
        <v>447</v>
      </c>
    </row>
    <row r="61" spans="1:2">
      <c r="A61" t="s">
        <v>448</v>
      </c>
      <c r="B61" t="s">
        <v>449</v>
      </c>
    </row>
    <row r="62" spans="1:2">
      <c r="A62" t="s">
        <v>450</v>
      </c>
      <c r="B62" t="s">
        <v>451</v>
      </c>
    </row>
    <row r="63" spans="1:2">
      <c r="A63" t="s">
        <v>452</v>
      </c>
      <c r="B63" t="s">
        <v>453</v>
      </c>
    </row>
    <row r="64" spans="1:2">
      <c r="A64" t="s">
        <v>454</v>
      </c>
      <c r="B64" t="s">
        <v>455</v>
      </c>
    </row>
    <row r="65" spans="1:2">
      <c r="A65" t="s">
        <v>456</v>
      </c>
      <c r="B65" t="s">
        <v>457</v>
      </c>
    </row>
    <row r="66" spans="1:2">
      <c r="A66" t="s">
        <v>458</v>
      </c>
      <c r="B66" t="s">
        <v>459</v>
      </c>
    </row>
    <row r="67" spans="1:2">
      <c r="A67" t="s">
        <v>460</v>
      </c>
      <c r="B67" t="s">
        <v>461</v>
      </c>
    </row>
    <row r="68" spans="1:2">
      <c r="A68" t="s">
        <v>462</v>
      </c>
      <c r="B68" t="s">
        <v>463</v>
      </c>
    </row>
    <row r="69" spans="1:2">
      <c r="A69" t="s">
        <v>464</v>
      </c>
      <c r="B69" t="s">
        <v>465</v>
      </c>
    </row>
    <row r="70" spans="1:2">
      <c r="A70" t="s">
        <v>466</v>
      </c>
      <c r="B70" t="s">
        <v>467</v>
      </c>
    </row>
    <row r="71" spans="1:2">
      <c r="A71" t="s">
        <v>468</v>
      </c>
      <c r="B71" t="s">
        <v>469</v>
      </c>
    </row>
    <row r="72" spans="1:2">
      <c r="A72" t="s">
        <v>470</v>
      </c>
      <c r="B72" t="s">
        <v>471</v>
      </c>
    </row>
    <row r="73" spans="1:2">
      <c r="A73" t="s">
        <v>472</v>
      </c>
      <c r="B73" t="s">
        <v>473</v>
      </c>
    </row>
    <row r="74" spans="1:2">
      <c r="A74" t="s">
        <v>474</v>
      </c>
      <c r="B74" t="s">
        <v>475</v>
      </c>
    </row>
    <row r="75" spans="1:2">
      <c r="A75" t="s">
        <v>476</v>
      </c>
      <c r="B75" t="s">
        <v>477</v>
      </c>
    </row>
    <row r="76" spans="1:2">
      <c r="A76" t="s">
        <v>478</v>
      </c>
      <c r="B76" t="s">
        <v>479</v>
      </c>
    </row>
    <row r="77" spans="1:2">
      <c r="A77" t="s">
        <v>480</v>
      </c>
      <c r="B77" t="s">
        <v>481</v>
      </c>
    </row>
    <row r="78" spans="1:2">
      <c r="A78" t="s">
        <v>482</v>
      </c>
      <c r="B78" t="s">
        <v>483</v>
      </c>
    </row>
    <row r="79" spans="1:2">
      <c r="A79" t="s">
        <v>484</v>
      </c>
      <c r="B79" t="s">
        <v>485</v>
      </c>
    </row>
    <row r="80" spans="1:2">
      <c r="A80" t="s">
        <v>486</v>
      </c>
      <c r="B80" t="s">
        <v>487</v>
      </c>
    </row>
    <row r="81" spans="1:2">
      <c r="A81" t="s">
        <v>488</v>
      </c>
      <c r="B81" t="s">
        <v>489</v>
      </c>
    </row>
    <row r="82" spans="1:2">
      <c r="A82" t="s">
        <v>490</v>
      </c>
      <c r="B82" t="s">
        <v>491</v>
      </c>
    </row>
    <row r="83" spans="1:2">
      <c r="A83" t="s">
        <v>492</v>
      </c>
      <c r="B83" t="s">
        <v>493</v>
      </c>
    </row>
    <row r="84" spans="1:2">
      <c r="A84" t="s">
        <v>494</v>
      </c>
      <c r="B84" t="s">
        <v>495</v>
      </c>
    </row>
    <row r="85" spans="1:2">
      <c r="A85" t="s">
        <v>496</v>
      </c>
      <c r="B85" t="s">
        <v>497</v>
      </c>
    </row>
    <row r="86" spans="1:2">
      <c r="A86" t="s">
        <v>498</v>
      </c>
      <c r="B86" t="s">
        <v>499</v>
      </c>
    </row>
    <row r="87" spans="1:2">
      <c r="A87" t="s">
        <v>500</v>
      </c>
      <c r="B87" t="s">
        <v>501</v>
      </c>
    </row>
    <row r="88" spans="1:2">
      <c r="A88" t="s">
        <v>502</v>
      </c>
      <c r="B88" t="s">
        <v>503</v>
      </c>
    </row>
    <row r="89" spans="1:2">
      <c r="A89" t="s">
        <v>504</v>
      </c>
      <c r="B89" t="s">
        <v>505</v>
      </c>
    </row>
    <row r="90" spans="1:2">
      <c r="A90" t="s">
        <v>506</v>
      </c>
      <c r="B90" t="s">
        <v>507</v>
      </c>
    </row>
    <row r="91" spans="1:2">
      <c r="A91" t="s">
        <v>508</v>
      </c>
      <c r="B91" t="s">
        <v>509</v>
      </c>
    </row>
    <row r="92" spans="1:2">
      <c r="A92" t="s">
        <v>510</v>
      </c>
      <c r="B92" t="s">
        <v>511</v>
      </c>
    </row>
    <row r="93" spans="1:2">
      <c r="A93" t="s">
        <v>512</v>
      </c>
      <c r="B93" t="s">
        <v>513</v>
      </c>
    </row>
    <row r="94" spans="1:2">
      <c r="A94" t="s">
        <v>514</v>
      </c>
      <c r="B94" t="s">
        <v>515</v>
      </c>
    </row>
    <row r="95" spans="1:2">
      <c r="A95" t="s">
        <v>516</v>
      </c>
      <c r="B95" t="s">
        <v>517</v>
      </c>
    </row>
    <row r="96" spans="1:2">
      <c r="A96" t="s">
        <v>518</v>
      </c>
      <c r="B96" t="s">
        <v>519</v>
      </c>
    </row>
    <row r="97" spans="1:2">
      <c r="A97" t="s">
        <v>520</v>
      </c>
      <c r="B97" t="s">
        <v>521</v>
      </c>
    </row>
    <row r="98" spans="1:2">
      <c r="A98" t="s">
        <v>522</v>
      </c>
      <c r="B98" t="s">
        <v>523</v>
      </c>
    </row>
    <row r="99" spans="1:2">
      <c r="A99" t="s">
        <v>524</v>
      </c>
      <c r="B99" t="s">
        <v>525</v>
      </c>
    </row>
    <row r="100" spans="1:2">
      <c r="A100" t="s">
        <v>526</v>
      </c>
      <c r="B100" t="s">
        <v>527</v>
      </c>
    </row>
    <row r="101" spans="1:2">
      <c r="A101" t="s">
        <v>528</v>
      </c>
      <c r="B101" t="s">
        <v>529</v>
      </c>
    </row>
    <row r="102" spans="1:2">
      <c r="A102" t="s">
        <v>530</v>
      </c>
      <c r="B102" t="s">
        <v>531</v>
      </c>
    </row>
    <row r="103" spans="1:2">
      <c r="A103" t="s">
        <v>532</v>
      </c>
      <c r="B103" t="s">
        <v>533</v>
      </c>
    </row>
    <row r="104" spans="1:2">
      <c r="A104" t="s">
        <v>534</v>
      </c>
      <c r="B104" t="s">
        <v>535</v>
      </c>
    </row>
    <row r="105" spans="1:2">
      <c r="A105" t="s">
        <v>536</v>
      </c>
      <c r="B105" t="s">
        <v>537</v>
      </c>
    </row>
    <row r="106" spans="1:2">
      <c r="A106" t="s">
        <v>538</v>
      </c>
      <c r="B106" t="s">
        <v>539</v>
      </c>
    </row>
    <row r="107" spans="1:2">
      <c r="A107" t="s">
        <v>540</v>
      </c>
      <c r="B107" t="s">
        <v>541</v>
      </c>
    </row>
    <row r="108" spans="1:2">
      <c r="A108" t="s">
        <v>542</v>
      </c>
      <c r="B108" t="s">
        <v>543</v>
      </c>
    </row>
    <row r="109" spans="1:2">
      <c r="A109" t="s">
        <v>544</v>
      </c>
      <c r="B109" t="s">
        <v>545</v>
      </c>
    </row>
    <row r="110" spans="1:2">
      <c r="A110" t="s">
        <v>546</v>
      </c>
      <c r="B110" t="s">
        <v>547</v>
      </c>
    </row>
    <row r="111" spans="1:2">
      <c r="A111" t="s">
        <v>548</v>
      </c>
      <c r="B111" t="s">
        <v>549</v>
      </c>
    </row>
    <row r="112" spans="1:2">
      <c r="A112" t="s">
        <v>550</v>
      </c>
      <c r="B112" t="s">
        <v>551</v>
      </c>
    </row>
    <row r="113" spans="1:2">
      <c r="A113" t="s">
        <v>552</v>
      </c>
      <c r="B113" t="s">
        <v>553</v>
      </c>
    </row>
    <row r="114" spans="1:2">
      <c r="A114" t="s">
        <v>554</v>
      </c>
      <c r="B114" t="s">
        <v>555</v>
      </c>
    </row>
    <row r="115" spans="1:2">
      <c r="A115" t="s">
        <v>556</v>
      </c>
      <c r="B115" t="s">
        <v>557</v>
      </c>
    </row>
    <row r="116" spans="1:2">
      <c r="A116" t="s">
        <v>558</v>
      </c>
      <c r="B116" t="s">
        <v>559</v>
      </c>
    </row>
    <row r="117" spans="1:2">
      <c r="A117" t="s">
        <v>560</v>
      </c>
      <c r="B117" t="s">
        <v>561</v>
      </c>
    </row>
    <row r="118" spans="1:2">
      <c r="A118" t="s">
        <v>562</v>
      </c>
      <c r="B118" t="s">
        <v>563</v>
      </c>
    </row>
    <row r="119" spans="1:2">
      <c r="A119" t="s">
        <v>564</v>
      </c>
      <c r="B119" t="s">
        <v>565</v>
      </c>
    </row>
    <row r="120" spans="1:2">
      <c r="A120" t="s">
        <v>566</v>
      </c>
      <c r="B120" t="s">
        <v>567</v>
      </c>
    </row>
    <row r="121" spans="1:2">
      <c r="A121" t="s">
        <v>568</v>
      </c>
      <c r="B121" t="s">
        <v>569</v>
      </c>
    </row>
    <row r="122" spans="1:2">
      <c r="A122" t="s">
        <v>570</v>
      </c>
      <c r="B122" t="s">
        <v>571</v>
      </c>
    </row>
    <row r="123" spans="1:2">
      <c r="A123" t="s">
        <v>572</v>
      </c>
      <c r="B123" t="s">
        <v>573</v>
      </c>
    </row>
    <row r="124" spans="1:2">
      <c r="A124" t="s">
        <v>574</v>
      </c>
      <c r="B124" t="s">
        <v>575</v>
      </c>
    </row>
    <row r="125" spans="1:2">
      <c r="A125" t="s">
        <v>576</v>
      </c>
      <c r="B125" t="s">
        <v>577</v>
      </c>
    </row>
    <row r="126" spans="1:2">
      <c r="A126" t="s">
        <v>578</v>
      </c>
      <c r="B126" t="s">
        <v>242</v>
      </c>
    </row>
    <row r="127" spans="1:2">
      <c r="A127" t="s">
        <v>579</v>
      </c>
      <c r="B127" t="s">
        <v>580</v>
      </c>
    </row>
    <row r="128" spans="1:2">
      <c r="A128" t="s">
        <v>581</v>
      </c>
      <c r="B128" t="s">
        <v>582</v>
      </c>
    </row>
    <row r="129" spans="1:2">
      <c r="A129" t="s">
        <v>583</v>
      </c>
      <c r="B129" t="s">
        <v>584</v>
      </c>
    </row>
    <row r="130" spans="1:2">
      <c r="A130" t="s">
        <v>585</v>
      </c>
      <c r="B130" t="s">
        <v>586</v>
      </c>
    </row>
    <row r="131" spans="1:2">
      <c r="A131" t="s">
        <v>587</v>
      </c>
      <c r="B131" t="s">
        <v>588</v>
      </c>
    </row>
    <row r="132" spans="1:2">
      <c r="A132" t="s">
        <v>589</v>
      </c>
      <c r="B132" t="s">
        <v>590</v>
      </c>
    </row>
    <row r="133" spans="1:2">
      <c r="A133" t="s">
        <v>591</v>
      </c>
      <c r="B133" t="s">
        <v>592</v>
      </c>
    </row>
    <row r="134" spans="1:2">
      <c r="A134" t="s">
        <v>593</v>
      </c>
      <c r="B134" t="s">
        <v>594</v>
      </c>
    </row>
    <row r="135" spans="1:2">
      <c r="A135" t="s">
        <v>595</v>
      </c>
      <c r="B135" t="s">
        <v>596</v>
      </c>
    </row>
    <row r="136" spans="1:2">
      <c r="A136" t="s">
        <v>597</v>
      </c>
      <c r="B136" t="s">
        <v>598</v>
      </c>
    </row>
    <row r="137" spans="1:2">
      <c r="A137" t="s">
        <v>599</v>
      </c>
      <c r="B137" t="s">
        <v>600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f18fa0b-d801-4df7-86eb-159337f4db1b" xsi:nil="true"/>
    <lcf76f155ced4ddcb4097134ff3c332f xmlns="6448d1a2-b578-4b03-9c24-55b2787a488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C7B42F3B855041A955ABA0C55DAA9E" ma:contentTypeVersion="11" ma:contentTypeDescription="Create a new document." ma:contentTypeScope="" ma:versionID="1a6d7f571d2ca38871914f56a7289521">
  <xsd:schema xmlns:xsd="http://www.w3.org/2001/XMLSchema" xmlns:xs="http://www.w3.org/2001/XMLSchema" xmlns:p="http://schemas.microsoft.com/office/2006/metadata/properties" xmlns:ns2="6448d1a2-b578-4b03-9c24-55b2787a488f" xmlns:ns3="4f18fa0b-d801-4df7-86eb-159337f4db1b" targetNamespace="http://schemas.microsoft.com/office/2006/metadata/properties" ma:root="true" ma:fieldsID="daaa4c773ee78c3fe315fe2a11241efc" ns2:_="" ns3:_="">
    <xsd:import namespace="6448d1a2-b578-4b03-9c24-55b2787a488f"/>
    <xsd:import namespace="4f18fa0b-d801-4df7-86eb-159337f4db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48d1a2-b578-4b03-9c24-55b2787a48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da28205-1bac-4452-a111-9544b9b5043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18fa0b-d801-4df7-86eb-159337f4db1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f62c3a9-d08f-449b-9ef1-971612e0ca99}" ma:internalName="TaxCatchAll" ma:showField="CatchAllData" ma:web="4f18fa0b-d801-4df7-86eb-159337f4db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12A56D-CCB8-464B-88AF-F0F1A5D561C7}"/>
</file>

<file path=customXml/itemProps2.xml><?xml version="1.0" encoding="utf-8"?>
<ds:datastoreItem xmlns:ds="http://schemas.openxmlformats.org/officeDocument/2006/customXml" ds:itemID="{1F250060-FE35-488A-9964-19C8FF4FB1EC}"/>
</file>

<file path=customXml/itemProps3.xml><?xml version="1.0" encoding="utf-8"?>
<ds:datastoreItem xmlns:ds="http://schemas.openxmlformats.org/officeDocument/2006/customXml" ds:itemID="{AB8393D2-B712-4A5C-B039-57BEA7F5EE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mgardner</dc:creator>
  <cp:keywords/>
  <dc:description/>
  <cp:lastModifiedBy>Ashley Smith</cp:lastModifiedBy>
  <cp:revision/>
  <dcterms:created xsi:type="dcterms:W3CDTF">2018-08-31T03:32:13Z</dcterms:created>
  <dcterms:modified xsi:type="dcterms:W3CDTF">2026-08-10T14:47:12Z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0x010100AAC7B42F3B855041A955ABA0C55DAA9E</vt:lpwstr>
  </property>
  <property fmtid="{D5CDD505-2E9C-101B-9397-08002B2CF9AE}" pid="3" name="MediaServiceImageTags">
    <vt:lpwstr/>
  </property>
</Properties>
</file>